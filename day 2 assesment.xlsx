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eha James\Downloads\"/>
    </mc:Choice>
  </mc:AlternateContent>
  <xr:revisionPtr revIDLastSave="0" documentId="13_ncr:1_{2B926498-1E7F-4BD2-95D3-6109205B80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pivotCaches>
    <pivotCache cacheId="26" r:id="rId3"/>
    <pivotCache cacheId="1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N10" i="1" a="1"/>
  <c r="N10" i="1" s="1"/>
  <c r="N8" i="1"/>
  <c r="N7" i="1"/>
  <c r="N5" i="1"/>
  <c r="N2" i="1"/>
  <c r="N4" i="1"/>
  <c r="N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<sst xmlns="http://schemas.openxmlformats.org/spreadsheetml/2006/main" count="347" uniqueCount="122">
  <si>
    <t>Lookup Function Questions</t>
  </si>
  <si>
    <t>Employee ID</t>
  </si>
  <si>
    <t>1. VLOOKUP Dept by Emp ID</t>
  </si>
  <si>
    <t>Name</t>
  </si>
  <si>
    <t>Department</t>
  </si>
  <si>
    <t>Product</t>
  </si>
  <si>
    <t>Region</t>
  </si>
  <si>
    <t>Units Sold</t>
  </si>
  <si>
    <t>Unit Price</t>
  </si>
  <si>
    <t>Date of Sale</t>
  </si>
  <si>
    <t>Total Sale</t>
  </si>
  <si>
    <t>E1000</t>
  </si>
  <si>
    <t>Grace</t>
  </si>
  <si>
    <t>2. HLOOKUP Product Header</t>
  </si>
  <si>
    <t>Finance</t>
  </si>
  <si>
    <t>Phone</t>
  </si>
  <si>
    <t>West</t>
  </si>
  <si>
    <t>3. XLOOKUP Region by Product</t>
  </si>
  <si>
    <t>4. VLOOKUP Unit Price</t>
  </si>
  <si>
    <t>5. INDEX+MATCH Unit Price</t>
  </si>
  <si>
    <t>6. XLOOKUP Total Sale by Emp</t>
  </si>
  <si>
    <t>7. XLOOKUP Units Sold by Product</t>
  </si>
  <si>
    <t>8. LOOKUP Last Name</t>
  </si>
  <si>
    <t>9. FILTER Units &gt; 90</t>
  </si>
  <si>
    <t>10. CHOOSE Example</t>
  </si>
  <si>
    <t>Pivot Table Questions</t>
  </si>
  <si>
    <t>1. Total Sales by Department</t>
  </si>
  <si>
    <t>2. Average Unit Price by Region</t>
  </si>
  <si>
    <t>3. Units Sold by Product (Chart)</t>
  </si>
  <si>
    <t>4. Sales Count by Region</t>
  </si>
  <si>
    <t>5. Sales by Employee</t>
  </si>
  <si>
    <t>6. Monthly Sales Grouped by Date</t>
  </si>
  <si>
    <t>7. Chart for Department Sales Over Time</t>
  </si>
  <si>
    <t>8. Slicer for Region</t>
  </si>
  <si>
    <t>9. Avg &amp; Max Unit Price per Product</t>
  </si>
  <si>
    <t>10. Region-wise Product Sales Chart</t>
  </si>
  <si>
    <t>E1001</t>
  </si>
  <si>
    <t>Tablet</t>
  </si>
  <si>
    <t>South</t>
  </si>
  <si>
    <t>E1002</t>
  </si>
  <si>
    <t>Frank</t>
  </si>
  <si>
    <t>Sales</t>
  </si>
  <si>
    <t>E1003</t>
  </si>
  <si>
    <t>David</t>
  </si>
  <si>
    <t>North</t>
  </si>
  <si>
    <t>E1004</t>
  </si>
  <si>
    <t>Monitor</t>
  </si>
  <si>
    <t>E1005</t>
  </si>
  <si>
    <t>Alice</t>
  </si>
  <si>
    <t>HR</t>
  </si>
  <si>
    <t>Laptop</t>
  </si>
  <si>
    <t>E1006</t>
  </si>
  <si>
    <t>E1007</t>
  </si>
  <si>
    <t>E1008</t>
  </si>
  <si>
    <t>Jack</t>
  </si>
  <si>
    <t>East</t>
  </si>
  <si>
    <t>E1009</t>
  </si>
  <si>
    <t>Marketing</t>
  </si>
  <si>
    <t>E1010</t>
  </si>
  <si>
    <t>Hannah</t>
  </si>
  <si>
    <t>IT</t>
  </si>
  <si>
    <t>E1011</t>
  </si>
  <si>
    <t>E1012</t>
  </si>
  <si>
    <t>Ivy</t>
  </si>
  <si>
    <t>E1013</t>
  </si>
  <si>
    <t>Eve</t>
  </si>
  <si>
    <t>E1014</t>
  </si>
  <si>
    <t>E1015</t>
  </si>
  <si>
    <t>E1016</t>
  </si>
  <si>
    <t>E1017</t>
  </si>
  <si>
    <t>E1018</t>
  </si>
  <si>
    <t>E1019</t>
  </si>
  <si>
    <t>E1020</t>
  </si>
  <si>
    <t>Bob</t>
  </si>
  <si>
    <t>E1021</t>
  </si>
  <si>
    <t>E1022</t>
  </si>
  <si>
    <t>E1023</t>
  </si>
  <si>
    <t>E1024</t>
  </si>
  <si>
    <t>E1025</t>
  </si>
  <si>
    <t>Charlie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</si>
  <si>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</si>
  <si>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</si>
  <si>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</si>
  <si>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</si>
  <si>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</si>
  <si>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</si>
  <si>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</si>
  <si>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</si>
  <si>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</si>
  <si>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</si>
  <si>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</si>
  <si>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</si>
  <si>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Keyboard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</si>
  <si>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</si>
  <si>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</si>
  <si>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</si>
  <si>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</si>
  <si>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</si>
  <si>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</si>
  <si>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</si>
  <si>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</si>
  <si>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</si>
  <si>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</si>
  <si>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</si>
  <si>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</si>
  <si>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Row Labels</t>
  </si>
  <si>
    <t>Grand Total</t>
  </si>
  <si>
    <t>Sum of Total Sale</t>
  </si>
  <si>
    <t>Average of Unit Price</t>
  </si>
  <si>
    <t>Sum of Units Sold</t>
  </si>
  <si>
    <t>Feb</t>
  </si>
  <si>
    <t>Apr</t>
  </si>
  <si>
    <t>May</t>
  </si>
  <si>
    <t>Jun</t>
  </si>
  <si>
    <t>Jul</t>
  </si>
  <si>
    <t>Aug</t>
  </si>
  <si>
    <t>Sep</t>
  </si>
  <si>
    <t>Oct</t>
  </si>
  <si>
    <t>Jan</t>
  </si>
  <si>
    <t>Mar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</si>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</sst>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 Excel Assignment.xlsx]Sheet1!PivotTable8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Sheet1!$N$33:$N$38</c:f>
              <c:strCache>
                <c:ptCount val="5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Phone</c:v>
                </c:pt>
                <c:pt idx="4">
                  <c:v>Tablet</c:v>
                </c:pt>
              </c:strCache>
            </c:strRef>
          </c:cat>
          <c:val>
            <c:numRef>
              <c:f>Sheet1!$O$33:$O$38</c:f>
              <c:numCache>
                <c:formatCode>General</c:formatCode>
                <c:ptCount val="5"/>
                <c:pt idx="0">
                  <c:v>366</c:v>
                </c:pt>
                <c:pt idx="1">
                  <c:v>189</c:v>
                </c:pt>
                <c:pt idx="2">
                  <c:v>603</c:v>
                </c:pt>
                <c:pt idx="3">
                  <c:v>544</c:v>
                </c:pt>
                <c:pt idx="4">
                  <c:v>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4-4121-A58D-3297939F9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5676399"/>
        <c:axId val="455005871"/>
      </c:barChart>
      <c:catAx>
        <c:axId val="67567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05871"/>
        <c:crosses val="autoZero"/>
        <c:auto val="1"/>
        <c:lblAlgn val="ctr"/>
        <c:lblOffset val="100"/>
        <c:noMultiLvlLbl val="0"/>
      </c:catAx>
      <c:valAx>
        <c:axId val="45500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67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 Excel Assignment.xlsx]Sheet1!PivotTable12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Sheet1!$O$75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Sheet1!$N$76:$N$81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Sheet1!$O$76:$O$81</c:f>
              <c:numCache>
                <c:formatCode>General</c:formatCode>
                <c:ptCount val="5"/>
                <c:pt idx="0">
                  <c:v>2289021</c:v>
                </c:pt>
                <c:pt idx="1">
                  <c:v>2920379</c:v>
                </c:pt>
                <c:pt idx="2">
                  <c:v>911991</c:v>
                </c:pt>
                <c:pt idx="3">
                  <c:v>1394834</c:v>
                </c:pt>
                <c:pt idx="4">
                  <c:v>473458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2-430F-9007-7CD6CCF14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9277791"/>
        <c:axId val="678322479"/>
      </c:barChart>
      <c:catAx>
        <c:axId val="569277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22479"/>
        <c:crosses val="autoZero"/>
        <c:auto val="1"/>
        <c:lblAlgn val="ctr"/>
        <c:lblOffset val="100"/>
        <c:noMultiLvlLbl val="0"/>
      </c:catAx>
      <c:valAx>
        <c:axId val="67832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27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346363</xdr:colOff>
      <xdr:row>29</xdr:row>
      <xdr:rowOff>102919</xdr:rowOff>
    </xdr:from>
    <xdr:to>
      <xdr:col>19</xdr:col>
      <xdr:colOff>178129</xdr:colOff>
      <xdr:row>37</xdr:row>
      <xdr:rowOff>98960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6C435-CEA7-332F-B53C-BC66F839F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138545</xdr:colOff>
      <xdr:row>72</xdr:row>
      <xdr:rowOff>19792</xdr:rowOff>
    </xdr:from>
    <xdr:to>
      <xdr:col>19</xdr:col>
      <xdr:colOff>860961</xdr:colOff>
      <xdr:row>81</xdr:row>
      <xdr:rowOff>95002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8BA1FF-70E4-E903-A798-D865BD969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James" refreshedDate="46245.432350925927" createdVersion="8" refreshedVersion="8" minRefreshableVersion="3" recordCount="50" xr:uid="{695EBA28-7DE1-4FF5-826F-DD43F241CC6D}">
  <cacheSource type="worksheet">
    <worksheetSource ref="A1:I51" sheet="Sheet1"/>
  </cacheSource>
  <cacheFields count="11">
    <cacheField name="Employee ID" numFmtId="0">
      <sharedItems count="50">
        <s v="E1000"/>
        <s v="E1001"/>
        <s v="E1002"/>
        <s v="E1003"/>
        <s v="E1004"/>
        <s v="E1005"/>
        <s v="E1006"/>
        <s v="E1007"/>
        <s v="E1008"/>
        <s v="E1009"/>
        <s v="E1010"/>
        <s v="E1011"/>
        <s v="E1012"/>
        <s v="E1013"/>
        <s v="E1014"/>
        <s v="E1015"/>
        <s v="E1016"/>
        <s v="E1017"/>
        <s v="E1018"/>
        <s v="E1019"/>
        <s v="E1020"/>
        <s v="E1021"/>
        <s v="E1022"/>
        <s v="E1023"/>
        <s v="E1024"/>
        <s v="E1025"/>
        <s v="E1026"/>
        <s v="E1027"/>
        <s v="E1028"/>
        <s v="E1029"/>
        <s v="E1030"/>
        <s v="E1031"/>
        <s v="E1032"/>
        <s v="E1033"/>
        <s v="E1034"/>
        <s v="E1035"/>
        <s v="E1036"/>
        <s v="E1037"/>
        <s v="E1038"/>
        <s v="E1039"/>
        <s v="E1040"/>
        <s v="E1041"/>
        <s v="E1042"/>
        <s v="E1043"/>
        <s v="E1044"/>
        <s v="E1045"/>
        <s v="E1046"/>
        <s v="E1047"/>
        <s v="E1048"/>
        <s v="E1049"/>
      </sharedItems>
    </cacheField>
    <cacheField name="Name" numFmtId="0">
      <sharedItems count="10">
        <s v="Grace"/>
        <s v="Frank"/>
        <s v="David"/>
        <s v="Alice"/>
        <s v="Jack"/>
        <s v="Hannah"/>
        <s v="Ivy"/>
        <s v="Eve"/>
        <s v="Bob"/>
        <s v="Charlie"/>
      </sharedItems>
    </cacheField>
    <cacheField name="Department" numFmtId="0">
      <sharedItems count="5">
        <s v="Finance"/>
        <s v="Sales"/>
        <s v="HR"/>
        <s v="Marketing"/>
        <s v="IT"/>
      </sharedItems>
    </cacheField>
    <cacheField name="Product" numFmtId="0">
      <sharedItems count="5">
        <s v="Phone"/>
        <s v="Tablet"/>
        <s v="Monitor"/>
        <s v="Laptop"/>
        <s v="Keyboard"/>
      </sharedItems>
    </cacheField>
    <cacheField name="Region" numFmtId="0">
      <sharedItems count="4">
        <s v="West"/>
        <s v="South"/>
        <s v="North"/>
        <s v="East"/>
      </sharedItems>
    </cacheField>
    <cacheField name="Units Sold" numFmtId="0">
      <sharedItems containsSemiMixedTypes="0" containsString="0" containsNumber="1" containsInteger="1" minValue="2" maxValue="99"/>
    </cacheField>
    <cacheField name="Unit Price" numFmtId="0">
      <sharedItems containsSemiMixedTypes="0" containsString="0" containsNumber="1" containsInteger="1" minValue="1042" maxValue="4983"/>
    </cacheField>
    <cacheField name="Date of Sale" numFmtId="164">
      <sharedItems containsSemiMixedTypes="0" containsNonDate="0" containsDate="1" containsString="0" minDate="2023-01-01T00:00:00" maxDate="2023-12-11T00:00:00" count="50">
        <d v="2023-01-01T00:00:00"/>
        <d v="2023-01-08T00:00:00"/>
        <d v="2023-01-15T00:00:00"/>
        <d v="2023-01-22T00:00:00"/>
        <d v="2023-01-29T00:00:00"/>
        <d v="2023-02-05T00:00:00"/>
        <d v="2023-02-12T00:00:00"/>
        <d v="2023-02-19T00:00:00"/>
        <d v="2023-02-26T00:00:00"/>
        <d v="2023-03-05T00:00:00"/>
        <d v="2023-03-12T00:00:00"/>
        <d v="2023-03-19T00:00:00"/>
        <d v="2023-03-26T00:00:00"/>
        <d v="2023-04-02T00:00:00"/>
        <d v="2023-04-09T00:00:00"/>
        <d v="2023-04-16T00:00:00"/>
        <d v="2023-04-23T00:00:00"/>
        <d v="2023-04-30T00:00:00"/>
        <d v="2023-05-07T00:00:00"/>
        <d v="2023-05-14T00:00:00"/>
        <d v="2023-05-21T00:00:00"/>
        <d v="2023-05-28T00:00:00"/>
        <d v="2023-06-04T00:00:00"/>
        <d v="2023-06-11T00:00:00"/>
        <d v="2023-06-18T00:00:00"/>
        <d v="2023-06-25T00:00:00"/>
        <d v="2023-07-02T00:00:00"/>
        <d v="2023-07-09T00:00:00"/>
        <d v="2023-07-16T00:00:00"/>
        <d v="2023-07-23T00:00:00"/>
        <d v="2023-07-30T00:00:00"/>
        <d v="2023-08-06T00:00:00"/>
        <d v="2023-08-13T00:00:00"/>
        <d v="2023-08-20T00:00:00"/>
        <d v="2023-08-27T00:00:00"/>
        <d v="2023-09-03T00:00:00"/>
        <d v="2023-09-10T00:00:00"/>
        <d v="2023-09-17T00:00:00"/>
        <d v="2023-09-24T00:00:00"/>
        <d v="2023-10-01T00:00:00"/>
        <d v="2023-10-08T00:00:00"/>
        <d v="2023-10-15T00:00:00"/>
        <d v="2023-10-22T00:00:00"/>
        <d v="2023-10-29T00:00:00"/>
        <d v="2023-11-05T00:00:00"/>
        <d v="2023-11-12T00:00:00"/>
        <d v="2023-11-19T00:00:00"/>
        <d v="2023-11-26T00:00:00"/>
        <d v="2023-12-03T00:00:00"/>
        <d v="2023-12-10T00:00:00"/>
      </sharedItems>
      <fieldGroup par="10"/>
    </cacheField>
    <cacheField name="Total Sale" numFmtId="0">
      <sharedItems containsSemiMixedTypes="0" containsString="0" containsNumber="1" containsInteger="1" minValue="4356" maxValue="483351"/>
    </cacheField>
    <cacheField name="Days (Date of Sale)" numFmtId="0" databaseField="0">
      <fieldGroup base="7">
        <rangePr groupBy="days" startDate="2023-01-01T00:00:00" endDate="2023-12-1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12-2023"/>
        </groupItems>
      </fieldGroup>
    </cacheField>
    <cacheField name="Months (Date of Sale)" numFmtId="0" databaseField="0">
      <fieldGroup base="7">
        <rangePr groupBy="months" startDate="2023-01-01T00:00:00" endDate="2023-12-1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12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James" refreshedDate="46245.437923495374" createdVersion="8" refreshedVersion="8" minRefreshableVersion="3" recordCount="50" xr:uid="{E76954BC-A8DC-44B6-A3CB-387C60CAA05D}">
  <cacheSource type="worksheet">
    <worksheetSource ref="C1:I51" sheet="Sheet1"/>
  </cacheSource>
  <cacheFields count="9">
    <cacheField name="Department" numFmtId="0">
      <sharedItems/>
    </cacheField>
    <cacheField name="Product" numFmtId="0">
      <sharedItems/>
    </cacheField>
    <cacheField name="Region" numFmtId="0">
      <sharedItems count="4">
        <s v="West"/>
        <s v="South"/>
        <s v="North"/>
        <s v="East"/>
      </sharedItems>
    </cacheField>
    <cacheField name="Units Sold" numFmtId="0">
      <sharedItems containsSemiMixedTypes="0" containsString="0" containsNumber="1" containsInteger="1" minValue="2" maxValue="99"/>
    </cacheField>
    <cacheField name="Unit Price" numFmtId="0">
      <sharedItems containsSemiMixedTypes="0" containsString="0" containsNumber="1" containsInteger="1" minValue="1042" maxValue="4983"/>
    </cacheField>
    <cacheField name="Date of Sale" numFmtId="164">
      <sharedItems containsSemiMixedTypes="0" containsNonDate="0" containsDate="1" containsString="0" minDate="2023-01-01T00:00:00" maxDate="2023-12-11T00:00:00" count="50">
        <d v="2023-01-01T00:00:00"/>
        <d v="2023-01-08T00:00:00"/>
        <d v="2023-01-15T00:00:00"/>
        <d v="2023-01-22T00:00:00"/>
        <d v="2023-01-29T00:00:00"/>
        <d v="2023-02-05T00:00:00"/>
        <d v="2023-02-12T00:00:00"/>
        <d v="2023-02-19T00:00:00"/>
        <d v="2023-02-26T00:00:00"/>
        <d v="2023-03-05T00:00:00"/>
        <d v="2023-03-12T00:00:00"/>
        <d v="2023-03-19T00:00:00"/>
        <d v="2023-03-26T00:00:00"/>
        <d v="2023-04-02T00:00:00"/>
        <d v="2023-04-09T00:00:00"/>
        <d v="2023-04-16T00:00:00"/>
        <d v="2023-04-23T00:00:00"/>
        <d v="2023-04-30T00:00:00"/>
        <d v="2023-05-07T00:00:00"/>
        <d v="2023-05-14T00:00:00"/>
        <d v="2023-05-21T00:00:00"/>
        <d v="2023-05-28T00:00:00"/>
        <d v="2023-06-04T00:00:00"/>
        <d v="2023-06-11T00:00:00"/>
        <d v="2023-06-18T00:00:00"/>
        <d v="2023-06-25T00:00:00"/>
        <d v="2023-07-02T00:00:00"/>
        <d v="2023-07-09T00:00:00"/>
        <d v="2023-07-16T00:00:00"/>
        <d v="2023-07-23T00:00:00"/>
        <d v="2023-07-30T00:00:00"/>
        <d v="2023-08-06T00:00:00"/>
        <d v="2023-08-13T00:00:00"/>
        <d v="2023-08-20T00:00:00"/>
        <d v="2023-08-27T00:00:00"/>
        <d v="2023-09-03T00:00:00"/>
        <d v="2023-09-10T00:00:00"/>
        <d v="2023-09-17T00:00:00"/>
        <d v="2023-09-24T00:00:00"/>
        <d v="2023-10-01T00:00:00"/>
        <d v="2023-10-08T00:00:00"/>
        <d v="2023-10-15T00:00:00"/>
        <d v="2023-10-22T00:00:00"/>
        <d v="2023-10-29T00:00:00"/>
        <d v="2023-11-05T00:00:00"/>
        <d v="2023-11-12T00:00:00"/>
        <d v="2023-11-19T00:00:00"/>
        <d v="2023-11-26T00:00:00"/>
        <d v="2023-12-03T00:00:00"/>
        <d v="2023-12-10T00:00:00"/>
      </sharedItems>
      <fieldGroup par="8"/>
    </cacheField>
    <cacheField name="Total Sale" numFmtId="0">
      <sharedItems containsSemiMixedTypes="0" containsString="0" containsNumber="1" containsInteger="1" minValue="4356" maxValue="483351"/>
    </cacheField>
    <cacheField name="Days (Date of Sale)" numFmtId="0" databaseField="0">
      <fieldGroup base="5">
        <rangePr groupBy="days" startDate="2023-01-01T00:00:00" endDate="2023-12-1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12-2023"/>
        </groupItems>
      </fieldGroup>
    </cacheField>
    <cacheField name="Months (Date of Sale)" numFmtId="0" databaseField="0">
      <fieldGroup base="5">
        <rangePr groupBy="months" startDate="2023-01-01T00:00:00" endDate="2023-12-1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12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x v="0"/>
    <n v="52"/>
    <n v="3890"/>
    <x v="0"/>
    <n v="202280"/>
  </r>
  <r>
    <x v="1"/>
    <x v="0"/>
    <x v="0"/>
    <x v="1"/>
    <x v="1"/>
    <n v="20"/>
    <n v="1050"/>
    <x v="1"/>
    <n v="21000"/>
  </r>
  <r>
    <x v="2"/>
    <x v="1"/>
    <x v="1"/>
    <x v="0"/>
    <x v="1"/>
    <n v="74"/>
    <n v="1334"/>
    <x v="2"/>
    <n v="98716"/>
  </r>
  <r>
    <x v="3"/>
    <x v="2"/>
    <x v="0"/>
    <x v="0"/>
    <x v="2"/>
    <n v="12"/>
    <n v="2991"/>
    <x v="3"/>
    <n v="35892"/>
  </r>
  <r>
    <x v="4"/>
    <x v="1"/>
    <x v="1"/>
    <x v="2"/>
    <x v="2"/>
    <n v="24"/>
    <n v="1326"/>
    <x v="4"/>
    <n v="31824"/>
  </r>
  <r>
    <x v="5"/>
    <x v="3"/>
    <x v="2"/>
    <x v="3"/>
    <x v="2"/>
    <n v="26"/>
    <n v="2871"/>
    <x v="5"/>
    <n v="74646"/>
  </r>
  <r>
    <x v="6"/>
    <x v="3"/>
    <x v="2"/>
    <x v="1"/>
    <x v="0"/>
    <n v="39"/>
    <n v="4625"/>
    <x v="6"/>
    <n v="180375"/>
  </r>
  <r>
    <x v="7"/>
    <x v="1"/>
    <x v="0"/>
    <x v="1"/>
    <x v="0"/>
    <n v="36"/>
    <n v="2257"/>
    <x v="7"/>
    <n v="81252"/>
  </r>
  <r>
    <x v="8"/>
    <x v="4"/>
    <x v="2"/>
    <x v="2"/>
    <x v="3"/>
    <n v="88"/>
    <n v="3168"/>
    <x v="8"/>
    <n v="278784"/>
  </r>
  <r>
    <x v="9"/>
    <x v="4"/>
    <x v="3"/>
    <x v="1"/>
    <x v="2"/>
    <n v="95"/>
    <n v="2360"/>
    <x v="9"/>
    <n v="224200"/>
  </r>
  <r>
    <x v="10"/>
    <x v="5"/>
    <x v="4"/>
    <x v="0"/>
    <x v="2"/>
    <n v="16"/>
    <n v="4264"/>
    <x v="10"/>
    <n v="68224"/>
  </r>
  <r>
    <x v="11"/>
    <x v="1"/>
    <x v="2"/>
    <x v="3"/>
    <x v="2"/>
    <n v="11"/>
    <n v="4003"/>
    <x v="11"/>
    <n v="44033"/>
  </r>
  <r>
    <x v="12"/>
    <x v="6"/>
    <x v="4"/>
    <x v="3"/>
    <x v="1"/>
    <n v="28"/>
    <n v="4411"/>
    <x v="12"/>
    <n v="123508"/>
  </r>
  <r>
    <x v="13"/>
    <x v="7"/>
    <x v="2"/>
    <x v="2"/>
    <x v="3"/>
    <n v="76"/>
    <n v="4104"/>
    <x v="13"/>
    <n v="311904"/>
  </r>
  <r>
    <x v="14"/>
    <x v="2"/>
    <x v="0"/>
    <x v="2"/>
    <x v="3"/>
    <n v="74"/>
    <n v="3342"/>
    <x v="14"/>
    <n v="247308"/>
  </r>
  <r>
    <x v="15"/>
    <x v="2"/>
    <x v="0"/>
    <x v="2"/>
    <x v="2"/>
    <n v="47"/>
    <n v="1647"/>
    <x v="15"/>
    <n v="77409"/>
  </r>
  <r>
    <x v="16"/>
    <x v="4"/>
    <x v="3"/>
    <x v="2"/>
    <x v="2"/>
    <n v="60"/>
    <n v="2045"/>
    <x v="16"/>
    <n v="122700"/>
  </r>
  <r>
    <x v="17"/>
    <x v="0"/>
    <x v="4"/>
    <x v="2"/>
    <x v="1"/>
    <n v="62"/>
    <n v="3073"/>
    <x v="17"/>
    <n v="190526"/>
  </r>
  <r>
    <x v="18"/>
    <x v="1"/>
    <x v="4"/>
    <x v="1"/>
    <x v="3"/>
    <n v="57"/>
    <n v="2641"/>
    <x v="18"/>
    <n v="150537"/>
  </r>
  <r>
    <x v="19"/>
    <x v="1"/>
    <x v="4"/>
    <x v="2"/>
    <x v="1"/>
    <n v="32"/>
    <n v="1582"/>
    <x v="19"/>
    <n v="50624"/>
  </r>
  <r>
    <x v="20"/>
    <x v="8"/>
    <x v="0"/>
    <x v="1"/>
    <x v="0"/>
    <n v="64"/>
    <n v="3773"/>
    <x v="20"/>
    <n v="241472"/>
  </r>
  <r>
    <x v="21"/>
    <x v="6"/>
    <x v="4"/>
    <x v="1"/>
    <x v="2"/>
    <n v="25"/>
    <n v="2213"/>
    <x v="21"/>
    <n v="55325"/>
  </r>
  <r>
    <x v="22"/>
    <x v="1"/>
    <x v="0"/>
    <x v="0"/>
    <x v="2"/>
    <n v="43"/>
    <n v="1518"/>
    <x v="22"/>
    <n v="65274"/>
  </r>
  <r>
    <x v="23"/>
    <x v="7"/>
    <x v="4"/>
    <x v="2"/>
    <x v="1"/>
    <n v="18"/>
    <n v="1042"/>
    <x v="23"/>
    <n v="18756"/>
  </r>
  <r>
    <x v="24"/>
    <x v="8"/>
    <x v="1"/>
    <x v="2"/>
    <x v="3"/>
    <n v="2"/>
    <n v="2178"/>
    <x v="24"/>
    <n v="4356"/>
  </r>
  <r>
    <x v="25"/>
    <x v="9"/>
    <x v="2"/>
    <x v="0"/>
    <x v="3"/>
    <n v="84"/>
    <n v="4439"/>
    <x v="25"/>
    <n v="372876"/>
  </r>
  <r>
    <x v="26"/>
    <x v="1"/>
    <x v="0"/>
    <x v="2"/>
    <x v="2"/>
    <n v="12"/>
    <n v="1148"/>
    <x v="26"/>
    <n v="13776"/>
  </r>
  <r>
    <x v="27"/>
    <x v="8"/>
    <x v="0"/>
    <x v="1"/>
    <x v="3"/>
    <n v="65"/>
    <n v="4067"/>
    <x v="27"/>
    <n v="264355"/>
  </r>
  <r>
    <x v="28"/>
    <x v="6"/>
    <x v="2"/>
    <x v="3"/>
    <x v="3"/>
    <n v="30"/>
    <n v="3294"/>
    <x v="28"/>
    <n v="98820"/>
  </r>
  <r>
    <x v="29"/>
    <x v="7"/>
    <x v="2"/>
    <x v="3"/>
    <x v="3"/>
    <n v="70"/>
    <n v="2269"/>
    <x v="29"/>
    <n v="158830"/>
  </r>
  <r>
    <x v="30"/>
    <x v="8"/>
    <x v="1"/>
    <x v="1"/>
    <x v="2"/>
    <n v="87"/>
    <n v="2832"/>
    <x v="30"/>
    <n v="246384"/>
  </r>
  <r>
    <x v="31"/>
    <x v="6"/>
    <x v="0"/>
    <x v="0"/>
    <x v="1"/>
    <n v="33"/>
    <n v="3414"/>
    <x v="31"/>
    <n v="112662"/>
  </r>
  <r>
    <x v="32"/>
    <x v="3"/>
    <x v="1"/>
    <x v="1"/>
    <x v="0"/>
    <n v="46"/>
    <n v="1579"/>
    <x v="32"/>
    <n v="72634"/>
  </r>
  <r>
    <x v="33"/>
    <x v="2"/>
    <x v="2"/>
    <x v="2"/>
    <x v="0"/>
    <n v="14"/>
    <n v="1342"/>
    <x v="33"/>
    <n v="18788"/>
  </r>
  <r>
    <x v="34"/>
    <x v="0"/>
    <x v="4"/>
    <x v="1"/>
    <x v="3"/>
    <n v="59"/>
    <n v="1297"/>
    <x v="34"/>
    <n v="76523"/>
  </r>
  <r>
    <x v="35"/>
    <x v="4"/>
    <x v="2"/>
    <x v="1"/>
    <x v="3"/>
    <n v="71"/>
    <n v="4518"/>
    <x v="35"/>
    <n v="320778"/>
  </r>
  <r>
    <x v="36"/>
    <x v="6"/>
    <x v="3"/>
    <x v="2"/>
    <x v="2"/>
    <n v="80"/>
    <n v="2925"/>
    <x v="36"/>
    <n v="234000"/>
  </r>
  <r>
    <x v="37"/>
    <x v="1"/>
    <x v="2"/>
    <x v="4"/>
    <x v="2"/>
    <n v="57"/>
    <n v="4951"/>
    <x v="37"/>
    <n v="282207"/>
  </r>
  <r>
    <x v="38"/>
    <x v="2"/>
    <x v="4"/>
    <x v="0"/>
    <x v="0"/>
    <n v="37"/>
    <n v="1757"/>
    <x v="38"/>
    <n v="65009"/>
  </r>
  <r>
    <x v="39"/>
    <x v="0"/>
    <x v="2"/>
    <x v="3"/>
    <x v="3"/>
    <n v="24"/>
    <n v="4412"/>
    <x v="39"/>
    <n v="105888"/>
  </r>
  <r>
    <x v="40"/>
    <x v="8"/>
    <x v="1"/>
    <x v="2"/>
    <x v="0"/>
    <n v="14"/>
    <n v="1396"/>
    <x v="40"/>
    <n v="19544"/>
  </r>
  <r>
    <x v="41"/>
    <x v="4"/>
    <x v="3"/>
    <x v="4"/>
    <x v="3"/>
    <n v="65"/>
    <n v="4050"/>
    <x v="41"/>
    <n v="263250"/>
  </r>
  <r>
    <x v="42"/>
    <x v="3"/>
    <x v="3"/>
    <x v="1"/>
    <x v="3"/>
    <n v="99"/>
    <n v="3780"/>
    <x v="42"/>
    <n v="374220"/>
  </r>
  <r>
    <x v="43"/>
    <x v="4"/>
    <x v="0"/>
    <x v="0"/>
    <x v="0"/>
    <n v="99"/>
    <n v="1075"/>
    <x v="43"/>
    <n v="106425"/>
  </r>
  <r>
    <x v="44"/>
    <x v="2"/>
    <x v="3"/>
    <x v="1"/>
    <x v="0"/>
    <n v="82"/>
    <n v="2152"/>
    <x v="44"/>
    <n v="176464"/>
  </r>
  <r>
    <x v="45"/>
    <x v="1"/>
    <x v="0"/>
    <x v="4"/>
    <x v="2"/>
    <n v="97"/>
    <n v="4983"/>
    <x v="45"/>
    <n v="483351"/>
  </r>
  <r>
    <x v="46"/>
    <x v="2"/>
    <x v="2"/>
    <x v="0"/>
    <x v="0"/>
    <n v="94"/>
    <n v="4591"/>
    <x v="46"/>
    <n v="431554"/>
  </r>
  <r>
    <x v="47"/>
    <x v="3"/>
    <x v="4"/>
    <x v="1"/>
    <x v="0"/>
    <n v="63"/>
    <n v="1793"/>
    <x v="47"/>
    <n v="112959"/>
  </r>
  <r>
    <x v="48"/>
    <x v="2"/>
    <x v="2"/>
    <x v="4"/>
    <x v="1"/>
    <n v="64"/>
    <n v="3764"/>
    <x v="48"/>
    <n v="240896"/>
  </r>
  <r>
    <x v="49"/>
    <x v="4"/>
    <x v="0"/>
    <x v="4"/>
    <x v="1"/>
    <n v="83"/>
    <n v="4055"/>
    <x v="49"/>
    <n v="33656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Finance"/>
    <s v="Phone"/>
    <x v="0"/>
    <n v="52"/>
    <n v="3890"/>
    <x v="0"/>
    <n v="202280"/>
  </r>
  <r>
    <s v="Finance"/>
    <s v="Tablet"/>
    <x v="1"/>
    <n v="20"/>
    <n v="1050"/>
    <x v="1"/>
    <n v="21000"/>
  </r>
  <r>
    <s v="Sales"/>
    <s v="Phone"/>
    <x v="1"/>
    <n v="74"/>
    <n v="1334"/>
    <x v="2"/>
    <n v="98716"/>
  </r>
  <r>
    <s v="Finance"/>
    <s v="Phone"/>
    <x v="2"/>
    <n v="12"/>
    <n v="2991"/>
    <x v="3"/>
    <n v="35892"/>
  </r>
  <r>
    <s v="Sales"/>
    <s v="Monitor"/>
    <x v="2"/>
    <n v="24"/>
    <n v="1326"/>
    <x v="4"/>
    <n v="31824"/>
  </r>
  <r>
    <s v="HR"/>
    <s v="Laptop"/>
    <x v="2"/>
    <n v="26"/>
    <n v="2871"/>
    <x v="5"/>
    <n v="74646"/>
  </r>
  <r>
    <s v="HR"/>
    <s v="Tablet"/>
    <x v="0"/>
    <n v="39"/>
    <n v="4625"/>
    <x v="6"/>
    <n v="180375"/>
  </r>
  <r>
    <s v="Finance"/>
    <s v="Tablet"/>
    <x v="0"/>
    <n v="36"/>
    <n v="2257"/>
    <x v="7"/>
    <n v="81252"/>
  </r>
  <r>
    <s v="HR"/>
    <s v="Monitor"/>
    <x v="3"/>
    <n v="88"/>
    <n v="3168"/>
    <x v="8"/>
    <n v="278784"/>
  </r>
  <r>
    <s v="Marketing"/>
    <s v="Tablet"/>
    <x v="2"/>
    <n v="95"/>
    <n v="2360"/>
    <x v="9"/>
    <n v="224200"/>
  </r>
  <r>
    <s v="IT"/>
    <s v="Phone"/>
    <x v="2"/>
    <n v="16"/>
    <n v="4264"/>
    <x v="10"/>
    <n v="68224"/>
  </r>
  <r>
    <s v="HR"/>
    <s v="Laptop"/>
    <x v="2"/>
    <n v="11"/>
    <n v="4003"/>
    <x v="11"/>
    <n v="44033"/>
  </r>
  <r>
    <s v="IT"/>
    <s v="Laptop"/>
    <x v="1"/>
    <n v="28"/>
    <n v="4411"/>
    <x v="12"/>
    <n v="123508"/>
  </r>
  <r>
    <s v="HR"/>
    <s v="Monitor"/>
    <x v="3"/>
    <n v="76"/>
    <n v="4104"/>
    <x v="13"/>
    <n v="311904"/>
  </r>
  <r>
    <s v="Finance"/>
    <s v="Monitor"/>
    <x v="3"/>
    <n v="74"/>
    <n v="3342"/>
    <x v="14"/>
    <n v="247308"/>
  </r>
  <r>
    <s v="Finance"/>
    <s v="Monitor"/>
    <x v="2"/>
    <n v="47"/>
    <n v="1647"/>
    <x v="15"/>
    <n v="77409"/>
  </r>
  <r>
    <s v="Marketing"/>
    <s v="Monitor"/>
    <x v="2"/>
    <n v="60"/>
    <n v="2045"/>
    <x v="16"/>
    <n v="122700"/>
  </r>
  <r>
    <s v="IT"/>
    <s v="Monitor"/>
    <x v="1"/>
    <n v="62"/>
    <n v="3073"/>
    <x v="17"/>
    <n v="190526"/>
  </r>
  <r>
    <s v="IT"/>
    <s v="Tablet"/>
    <x v="3"/>
    <n v="57"/>
    <n v="2641"/>
    <x v="18"/>
    <n v="150537"/>
  </r>
  <r>
    <s v="IT"/>
    <s v="Monitor"/>
    <x v="1"/>
    <n v="32"/>
    <n v="1582"/>
    <x v="19"/>
    <n v="50624"/>
  </r>
  <r>
    <s v="Finance"/>
    <s v="Tablet"/>
    <x v="0"/>
    <n v="64"/>
    <n v="3773"/>
    <x v="20"/>
    <n v="241472"/>
  </r>
  <r>
    <s v="IT"/>
    <s v="Tablet"/>
    <x v="2"/>
    <n v="25"/>
    <n v="2213"/>
    <x v="21"/>
    <n v="55325"/>
  </r>
  <r>
    <s v="Finance"/>
    <s v="Phone"/>
    <x v="2"/>
    <n v="43"/>
    <n v="1518"/>
    <x v="22"/>
    <n v="65274"/>
  </r>
  <r>
    <s v="IT"/>
    <s v="Monitor"/>
    <x v="1"/>
    <n v="18"/>
    <n v="1042"/>
    <x v="23"/>
    <n v="18756"/>
  </r>
  <r>
    <s v="Sales"/>
    <s v="Monitor"/>
    <x v="3"/>
    <n v="2"/>
    <n v="2178"/>
    <x v="24"/>
    <n v="4356"/>
  </r>
  <r>
    <s v="HR"/>
    <s v="Phone"/>
    <x v="3"/>
    <n v="84"/>
    <n v="4439"/>
    <x v="25"/>
    <n v="372876"/>
  </r>
  <r>
    <s v="Finance"/>
    <s v="Monitor"/>
    <x v="2"/>
    <n v="12"/>
    <n v="1148"/>
    <x v="26"/>
    <n v="13776"/>
  </r>
  <r>
    <s v="Finance"/>
    <s v="Tablet"/>
    <x v="3"/>
    <n v="65"/>
    <n v="4067"/>
    <x v="27"/>
    <n v="264355"/>
  </r>
  <r>
    <s v="HR"/>
    <s v="Laptop"/>
    <x v="3"/>
    <n v="30"/>
    <n v="3294"/>
    <x v="28"/>
    <n v="98820"/>
  </r>
  <r>
    <s v="HR"/>
    <s v="Laptop"/>
    <x v="3"/>
    <n v="70"/>
    <n v="2269"/>
    <x v="29"/>
    <n v="158830"/>
  </r>
  <r>
    <s v="Sales"/>
    <s v="Tablet"/>
    <x v="2"/>
    <n v="87"/>
    <n v="2832"/>
    <x v="30"/>
    <n v="246384"/>
  </r>
  <r>
    <s v="Finance"/>
    <s v="Phone"/>
    <x v="1"/>
    <n v="33"/>
    <n v="3414"/>
    <x v="31"/>
    <n v="112662"/>
  </r>
  <r>
    <s v="Sales"/>
    <s v="Tablet"/>
    <x v="0"/>
    <n v="46"/>
    <n v="1579"/>
    <x v="32"/>
    <n v="72634"/>
  </r>
  <r>
    <s v="HR"/>
    <s v="Monitor"/>
    <x v="0"/>
    <n v="14"/>
    <n v="1342"/>
    <x v="33"/>
    <n v="18788"/>
  </r>
  <r>
    <s v="IT"/>
    <s v="Tablet"/>
    <x v="3"/>
    <n v="59"/>
    <n v="1297"/>
    <x v="34"/>
    <n v="76523"/>
  </r>
  <r>
    <s v="HR"/>
    <s v="Tablet"/>
    <x v="3"/>
    <n v="71"/>
    <n v="4518"/>
    <x v="35"/>
    <n v="320778"/>
  </r>
  <r>
    <s v="Marketing"/>
    <s v="Monitor"/>
    <x v="2"/>
    <n v="80"/>
    <n v="2925"/>
    <x v="36"/>
    <n v="234000"/>
  </r>
  <r>
    <s v="HR"/>
    <s v="Keyboard"/>
    <x v="2"/>
    <n v="57"/>
    <n v="4951"/>
    <x v="37"/>
    <n v="282207"/>
  </r>
  <r>
    <s v="IT"/>
    <s v="Phone"/>
    <x v="0"/>
    <n v="37"/>
    <n v="1757"/>
    <x v="38"/>
    <n v="65009"/>
  </r>
  <r>
    <s v="HR"/>
    <s v="Laptop"/>
    <x v="3"/>
    <n v="24"/>
    <n v="4412"/>
    <x v="39"/>
    <n v="105888"/>
  </r>
  <r>
    <s v="Sales"/>
    <s v="Monitor"/>
    <x v="0"/>
    <n v="14"/>
    <n v="1396"/>
    <x v="40"/>
    <n v="19544"/>
  </r>
  <r>
    <s v="Marketing"/>
    <s v="Keyboard"/>
    <x v="3"/>
    <n v="65"/>
    <n v="4050"/>
    <x v="41"/>
    <n v="263250"/>
  </r>
  <r>
    <s v="Marketing"/>
    <s v="Tablet"/>
    <x v="3"/>
    <n v="99"/>
    <n v="3780"/>
    <x v="42"/>
    <n v="374220"/>
  </r>
  <r>
    <s v="Finance"/>
    <s v="Phone"/>
    <x v="0"/>
    <n v="99"/>
    <n v="1075"/>
    <x v="43"/>
    <n v="106425"/>
  </r>
  <r>
    <s v="Marketing"/>
    <s v="Tablet"/>
    <x v="0"/>
    <n v="82"/>
    <n v="2152"/>
    <x v="44"/>
    <n v="176464"/>
  </r>
  <r>
    <s v="Finance"/>
    <s v="Keyboard"/>
    <x v="2"/>
    <n v="97"/>
    <n v="4983"/>
    <x v="45"/>
    <n v="483351"/>
  </r>
  <r>
    <s v="HR"/>
    <s v="Phone"/>
    <x v="0"/>
    <n v="94"/>
    <n v="4591"/>
    <x v="46"/>
    <n v="431554"/>
  </r>
  <r>
    <s v="IT"/>
    <s v="Tablet"/>
    <x v="0"/>
    <n v="63"/>
    <n v="1793"/>
    <x v="47"/>
    <n v="112959"/>
  </r>
  <r>
    <s v="HR"/>
    <s v="Keyboard"/>
    <x v="1"/>
    <n v="64"/>
    <n v="3764"/>
    <x v="48"/>
    <n v="240896"/>
  </r>
  <r>
    <s v="Finance"/>
    <s v="Keyboard"/>
    <x v="1"/>
    <n v="83"/>
    <n v="4055"/>
    <x v="49"/>
    <n v="3365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E5518-D595-415C-B823-C8A6384571C9}" name="PivotTable1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N75:O81" firstHeaderRow="1" firstDataRow="1" firstDataCol="1"/>
  <pivotFields count="11"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showAll="0"/>
    <pivotField showAll="0"/>
    <pivotField showAll="0"/>
    <pivotField numFmtId="16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60DE0-1747-450F-B05E-CAB2AE2D59D2}" name="PivotTable1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60:O73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axis="axisRow" numFmtId="16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F5162-8576-4AB4-9F90-9E0AD0D70385}" name="PivotTable10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7:O58" firstHeaderRow="1" firstDataRow="1" firstDataCol="1"/>
  <pivotFields count="11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11">
        <item x="3"/>
        <item x="8"/>
        <item x="9"/>
        <item x="2"/>
        <item x="7"/>
        <item x="1"/>
        <item x="0"/>
        <item x="5"/>
        <item x="6"/>
        <item x="4"/>
        <item t="default"/>
      </items>
    </pivotField>
    <pivotField showAll="0"/>
    <pivotField showAll="0"/>
    <pivotField showAll="0"/>
    <pivotField showAll="0"/>
    <pivotField showAll="0"/>
    <pivotField numFmtId="16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C1EF37-EAA4-402D-8B5A-0C4AD2C0F2B8}" name="PivotTable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0:O45" firstHeaderRow="1" firstDataRow="1" firstDataCol="1"/>
  <pivotFields count="9"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dataField="1" showAll="0"/>
    <pivotField showAll="0"/>
    <pivotField numFmtId="16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1130D-F90F-4D2F-AD19-33940875F4F8}" name="PivotTable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N32:O38" firstHeaderRow="1" firstDataRow="1" firstDataCol="1"/>
  <pivotFields count="11">
    <pivotField showAll="0"/>
    <pivotField showAll="0"/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dataField="1" showAll="0"/>
    <pivotField showAll="0"/>
    <pivotField numFmtId="16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B3923-550D-421B-8BB1-21591061A380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5:O30" firstHeaderRow="1" firstDataRow="1" firstDataCol="1"/>
  <pivotFields count="11"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numFmtId="16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nit Price" fld="6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AD465-9E75-4E4B-9588-D98A7A920D69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8:O24" firstHeaderRow="1" firstDataRow="1" firstDataCol="1"/>
  <pivotFields count="11"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showAll="0"/>
    <pivotField showAll="0"/>
    <pivotField showAll="0"/>
    <pivotField numFmtId="16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81"/>
  <sheetViews>
    <sheetView tabSelected="1" zoomScale="77" workbookViewId="0">
      <selection activeCell="M84" sqref="M84"/>
    </sheetView>
  </sheetViews>
  <sheetFormatPr defaultColWidth="12.6640625" defaultRowHeight="15.75" customHeight="1" x14ac:dyDescent="0.25"/>
  <cols>
    <col min="8" max="8" width="17" bestFit="1" customWidth="1"/>
    <col min="14" max="14" width="14.5546875" bestFit="1" customWidth="1"/>
    <col min="15" max="15" width="17.6640625" bestFit="1" customWidth="1"/>
  </cols>
  <sheetData>
    <row r="1" spans="1:19" x14ac:dyDescent="0.25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</row>
    <row r="2" spans="1:19" ht="15.75" customHeight="1" x14ac:dyDescent="0.3">
      <c r="A2" s="3" t="s">
        <v>11</v>
      </c>
      <c r="B2" s="3" t="s">
        <v>12</v>
      </c>
      <c r="C2" s="3" t="s">
        <v>14</v>
      </c>
      <c r="D2" s="3" t="s">
        <v>15</v>
      </c>
      <c r="E2" s="3" t="s">
        <v>16</v>
      </c>
      <c r="F2" s="4">
        <v>52</v>
      </c>
      <c r="G2" s="4">
        <v>3890</v>
      </c>
      <c r="H2" s="5">
        <v>44927</v>
      </c>
      <c r="I2" s="4">
        <v>202280</v>
      </c>
      <c r="M2">
        <v>1</v>
      </c>
      <c r="N2" t="str">
        <f>VLOOKUP(A2,A2:E11,3,TRUE)</f>
        <v>Finance</v>
      </c>
    </row>
    <row r="3" spans="1:19" ht="15.75" customHeight="1" x14ac:dyDescent="0.3">
      <c r="A3" s="3" t="s">
        <v>36</v>
      </c>
      <c r="B3" s="3" t="s">
        <v>12</v>
      </c>
      <c r="C3" s="3" t="s">
        <v>14</v>
      </c>
      <c r="D3" s="3" t="s">
        <v>37</v>
      </c>
      <c r="E3" s="3" t="s">
        <v>38</v>
      </c>
      <c r="F3" s="4">
        <v>20</v>
      </c>
      <c r="G3" s="4">
        <v>1050</v>
      </c>
      <c r="H3" s="5">
        <v>44934</v>
      </c>
      <c r="I3" s="4">
        <v>21000</v>
      </c>
      <c r="M3">
        <v>2</v>
      </c>
      <c r="N3" t="str">
        <f>HLOOKUP(D1,B2:E13,6,TRUE)</f>
        <v>Laptop</v>
      </c>
    </row>
    <row r="4" spans="1:19" ht="15.75" customHeight="1" x14ac:dyDescent="0.3">
      <c r="A4" s="3" t="s">
        <v>39</v>
      </c>
      <c r="B4" s="3" t="s">
        <v>40</v>
      </c>
      <c r="C4" s="3" t="s">
        <v>41</v>
      </c>
      <c r="D4" s="3" t="s">
        <v>15</v>
      </c>
      <c r="E4" s="3" t="s">
        <v>38</v>
      </c>
      <c r="F4" s="4">
        <v>74</v>
      </c>
      <c r="G4" s="4">
        <v>1334</v>
      </c>
      <c r="H4" s="5">
        <v>44941</v>
      </c>
      <c r="I4" s="4">
        <v>98716</v>
      </c>
      <c r="M4">
        <v>3</v>
      </c>
      <c r="N4" t="str">
        <f>_xlfn.XLOOKUP(D6,D2:D51,E2:E51)</f>
        <v>North</v>
      </c>
    </row>
    <row r="5" spans="1:19" ht="15.75" customHeight="1" x14ac:dyDescent="0.3">
      <c r="A5" s="3" t="s">
        <v>42</v>
      </c>
      <c r="B5" s="3" t="s">
        <v>43</v>
      </c>
      <c r="C5" s="3" t="s">
        <v>14</v>
      </c>
      <c r="D5" s="3" t="s">
        <v>15</v>
      </c>
      <c r="E5" s="3" t="s">
        <v>44</v>
      </c>
      <c r="F5" s="4">
        <v>12</v>
      </c>
      <c r="G5" s="4">
        <v>2991</v>
      </c>
      <c r="H5" s="5">
        <v>44948</v>
      </c>
      <c r="I5" s="4">
        <v>35892</v>
      </c>
      <c r="M5">
        <v>4</v>
      </c>
      <c r="N5">
        <f>VLOOKUP(A12,A2:G17,7,TRUE)</f>
        <v>4264</v>
      </c>
    </row>
    <row r="6" spans="1:19" ht="15.75" customHeight="1" x14ac:dyDescent="0.3">
      <c r="A6" s="3" t="s">
        <v>45</v>
      </c>
      <c r="B6" s="3" t="s">
        <v>40</v>
      </c>
      <c r="C6" s="3" t="s">
        <v>41</v>
      </c>
      <c r="D6" s="3" t="s">
        <v>46</v>
      </c>
      <c r="E6" s="3" t="s">
        <v>44</v>
      </c>
      <c r="F6" s="4">
        <v>24</v>
      </c>
      <c r="G6" s="4">
        <v>1326</v>
      </c>
      <c r="H6" s="5">
        <v>44955</v>
      </c>
      <c r="I6" s="4">
        <v>31824</v>
      </c>
      <c r="M6">
        <v>5</v>
      </c>
    </row>
    <row r="7" spans="1:19" ht="15.75" customHeight="1" x14ac:dyDescent="0.3">
      <c r="A7" s="3" t="s">
        <v>47</v>
      </c>
      <c r="B7" s="3" t="s">
        <v>48</v>
      </c>
      <c r="C7" s="3" t="s">
        <v>49</v>
      </c>
      <c r="D7" s="3" t="s">
        <v>50</v>
      </c>
      <c r="E7" s="3" t="s">
        <v>44</v>
      </c>
      <c r="F7" s="4">
        <v>26</v>
      </c>
      <c r="G7" s="4">
        <v>2871</v>
      </c>
      <c r="H7" s="5">
        <v>44962</v>
      </c>
      <c r="I7" s="4">
        <v>74646</v>
      </c>
      <c r="M7">
        <v>6</v>
      </c>
      <c r="N7">
        <f>_xlfn.XLOOKUP(A7,A2:A51,I2:I51)</f>
        <v>74646</v>
      </c>
    </row>
    <row r="8" spans="1:19" ht="15.75" customHeight="1" x14ac:dyDescent="0.3">
      <c r="A8" s="3" t="s">
        <v>51</v>
      </c>
      <c r="B8" s="3" t="s">
        <v>48</v>
      </c>
      <c r="C8" s="3" t="s">
        <v>49</v>
      </c>
      <c r="D8" s="3" t="s">
        <v>37</v>
      </c>
      <c r="E8" s="3" t="s">
        <v>16</v>
      </c>
      <c r="F8" s="4">
        <v>39</v>
      </c>
      <c r="G8" s="4">
        <v>4625</v>
      </c>
      <c r="H8" s="5">
        <v>44969</v>
      </c>
      <c r="I8" s="4">
        <v>180375</v>
      </c>
      <c r="M8">
        <v>7</v>
      </c>
      <c r="N8">
        <f>_xlfn.XLOOKUP(D12,D2:D51,F2:F51)</f>
        <v>52</v>
      </c>
    </row>
    <row r="9" spans="1:19" ht="15.75" customHeight="1" x14ac:dyDescent="0.3">
      <c r="A9" s="3" t="s">
        <v>52</v>
      </c>
      <c r="B9" s="3" t="s">
        <v>40</v>
      </c>
      <c r="C9" s="3" t="s">
        <v>14</v>
      </c>
      <c r="D9" s="3" t="s">
        <v>37</v>
      </c>
      <c r="E9" s="3" t="s">
        <v>16</v>
      </c>
      <c r="F9" s="4">
        <v>36</v>
      </c>
      <c r="G9" s="4">
        <v>2257</v>
      </c>
      <c r="H9" s="5">
        <v>44976</v>
      </c>
      <c r="I9" s="4">
        <v>81252</v>
      </c>
      <c r="M9">
        <v>8</v>
      </c>
      <c r="N9" t="str">
        <f>LOOKUP(B7,B2:B51)</f>
        <v>Alice</v>
      </c>
    </row>
    <row r="10" spans="1:19" ht="15.75" customHeight="1" x14ac:dyDescent="0.3">
      <c r="A10" s="3" t="s">
        <v>53</v>
      </c>
      <c r="B10" s="3" t="s">
        <v>54</v>
      </c>
      <c r="C10" s="3" t="s">
        <v>49</v>
      </c>
      <c r="D10" s="3" t="s">
        <v>46</v>
      </c>
      <c r="E10" s="3" t="s">
        <v>55</v>
      </c>
      <c r="F10" s="4">
        <v>88</v>
      </c>
      <c r="G10" s="4">
        <v>3168</v>
      </c>
      <c r="H10" s="5">
        <v>44983</v>
      </c>
      <c r="I10" s="4">
        <v>278784</v>
      </c>
      <c r="M10">
        <v>9</v>
      </c>
      <c r="N10" t="str" cm="1">
        <f t="array" ref="N10:S14">_xlfn._xlws.FILTER(A2:F51,F2:F51&gt;90)</f>
        <v>E1009</v>
      </c>
      <c r="O10" t="str">
        <v>Jack</v>
      </c>
      <c r="P10" t="str">
        <v>Marketing</v>
      </c>
      <c r="Q10" t="str">
        <v>Tablet</v>
      </c>
      <c r="R10" t="str">
        <v>North</v>
      </c>
      <c r="S10">
        <v>95</v>
      </c>
    </row>
    <row r="11" spans="1:19" ht="15.75" customHeight="1" x14ac:dyDescent="0.3">
      <c r="A11" s="3" t="s">
        <v>56</v>
      </c>
      <c r="B11" s="3" t="s">
        <v>54</v>
      </c>
      <c r="C11" s="3" t="s">
        <v>57</v>
      </c>
      <c r="D11" s="3" t="s">
        <v>37</v>
      </c>
      <c r="E11" s="3" t="s">
        <v>44</v>
      </c>
      <c r="F11" s="4">
        <v>95</v>
      </c>
      <c r="G11" s="4">
        <v>2360</v>
      </c>
      <c r="H11" s="5">
        <v>44990</v>
      </c>
      <c r="I11" s="4">
        <v>224200</v>
      </c>
      <c r="N11" t="str">
        <v>E1042</v>
      </c>
      <c r="O11" t="str">
        <v>Alice</v>
      </c>
      <c r="P11" t="str">
        <v>Marketing</v>
      </c>
      <c r="Q11" t="str">
        <v>Tablet</v>
      </c>
      <c r="R11" t="str">
        <v>East</v>
      </c>
      <c r="S11">
        <v>99</v>
      </c>
    </row>
    <row r="12" spans="1:19" ht="15.75" customHeight="1" x14ac:dyDescent="0.3">
      <c r="A12" s="3" t="s">
        <v>58</v>
      </c>
      <c r="B12" s="3" t="s">
        <v>59</v>
      </c>
      <c r="C12" s="3" t="s">
        <v>60</v>
      </c>
      <c r="D12" s="3" t="s">
        <v>15</v>
      </c>
      <c r="E12" s="3" t="s">
        <v>44</v>
      </c>
      <c r="F12" s="4">
        <v>16</v>
      </c>
      <c r="G12" s="4">
        <v>4264</v>
      </c>
      <c r="H12" s="5">
        <v>44997</v>
      </c>
      <c r="I12" s="4">
        <v>68224</v>
      </c>
      <c r="N12" t="str">
        <v>E1043</v>
      </c>
      <c r="O12" t="str">
        <v>Jack</v>
      </c>
      <c r="P12" t="str">
        <v>Finance</v>
      </c>
      <c r="Q12" t="str">
        <v>Phone</v>
      </c>
      <c r="R12" t="str">
        <v>West</v>
      </c>
      <c r="S12">
        <v>99</v>
      </c>
    </row>
    <row r="13" spans="1:19" ht="15.75" customHeight="1" x14ac:dyDescent="0.3">
      <c r="A13" s="3" t="s">
        <v>61</v>
      </c>
      <c r="B13" s="3" t="s">
        <v>40</v>
      </c>
      <c r="C13" s="3" t="s">
        <v>49</v>
      </c>
      <c r="D13" s="3" t="s">
        <v>50</v>
      </c>
      <c r="E13" s="3" t="s">
        <v>44</v>
      </c>
      <c r="F13" s="4">
        <v>11</v>
      </c>
      <c r="G13" s="4">
        <v>4003</v>
      </c>
      <c r="H13" s="5">
        <v>45004</v>
      </c>
      <c r="I13" s="4">
        <v>44033</v>
      </c>
      <c r="N13" t="str">
        <v>E1045</v>
      </c>
      <c r="O13" t="str">
        <v>Frank</v>
      </c>
      <c r="P13" t="str">
        <v>Finance</v>
      </c>
      <c r="Q13" t="str">
        <v>Keyboard</v>
      </c>
      <c r="R13" t="str">
        <v>North</v>
      </c>
      <c r="S13">
        <v>97</v>
      </c>
    </row>
    <row r="14" spans="1:19" ht="15.75" customHeight="1" x14ac:dyDescent="0.3">
      <c r="A14" s="3" t="s">
        <v>62</v>
      </c>
      <c r="B14" s="3" t="s">
        <v>63</v>
      </c>
      <c r="C14" s="3" t="s">
        <v>60</v>
      </c>
      <c r="D14" s="3" t="s">
        <v>50</v>
      </c>
      <c r="E14" s="3" t="s">
        <v>38</v>
      </c>
      <c r="F14" s="4">
        <v>28</v>
      </c>
      <c r="G14" s="4">
        <v>4411</v>
      </c>
      <c r="H14" s="5">
        <v>45011</v>
      </c>
      <c r="I14" s="4">
        <v>123508</v>
      </c>
      <c r="N14" t="str">
        <v>E1046</v>
      </c>
      <c r="O14" t="str">
        <v>David</v>
      </c>
      <c r="P14" t="str">
        <v>HR</v>
      </c>
      <c r="Q14" t="str">
        <v>Phone</v>
      </c>
      <c r="R14" t="str">
        <v>West</v>
      </c>
      <c r="S14">
        <v>94</v>
      </c>
    </row>
    <row r="15" spans="1:19" ht="15.75" customHeight="1" x14ac:dyDescent="0.3">
      <c r="A15" s="3" t="s">
        <v>64</v>
      </c>
      <c r="B15" s="3" t="s">
        <v>65</v>
      </c>
      <c r="C15" s="3" t="s">
        <v>49</v>
      </c>
      <c r="D15" s="3" t="s">
        <v>46</v>
      </c>
      <c r="E15" s="3" t="s">
        <v>55</v>
      </c>
      <c r="F15" s="4">
        <v>76</v>
      </c>
      <c r="G15" s="4">
        <v>4104</v>
      </c>
      <c r="H15" s="5">
        <v>45018</v>
      </c>
      <c r="I15" s="4">
        <v>311904</v>
      </c>
      <c r="M15">
        <v>10</v>
      </c>
    </row>
    <row r="16" spans="1:19" ht="15.75" customHeight="1" x14ac:dyDescent="0.3">
      <c r="A16" s="3" t="s">
        <v>66</v>
      </c>
      <c r="B16" s="3" t="s">
        <v>43</v>
      </c>
      <c r="C16" s="3" t="s">
        <v>14</v>
      </c>
      <c r="D16" s="3" t="s">
        <v>46</v>
      </c>
      <c r="E16" s="3" t="s">
        <v>55</v>
      </c>
      <c r="F16" s="4">
        <v>74</v>
      </c>
      <c r="G16" s="4">
        <v>3342</v>
      </c>
      <c r="H16" s="5">
        <v>45025</v>
      </c>
      <c r="I16" s="4">
        <v>247308</v>
      </c>
    </row>
    <row r="17" spans="1:15" ht="15.75" customHeight="1" x14ac:dyDescent="0.3">
      <c r="A17" s="3" t="s">
        <v>67</v>
      </c>
      <c r="B17" s="3" t="s">
        <v>43</v>
      </c>
      <c r="C17" s="3" t="s">
        <v>14</v>
      </c>
      <c r="D17" s="3" t="s">
        <v>46</v>
      </c>
      <c r="E17" s="3" t="s">
        <v>44</v>
      </c>
      <c r="F17" s="4">
        <v>47</v>
      </c>
      <c r="G17" s="4">
        <v>1647</v>
      </c>
      <c r="H17" s="5">
        <v>45032</v>
      </c>
      <c r="I17" s="4">
        <v>77409</v>
      </c>
    </row>
    <row r="18" spans="1:15" ht="15.75" customHeight="1" x14ac:dyDescent="0.3">
      <c r="A18" s="3" t="s">
        <v>68</v>
      </c>
      <c r="B18" s="3" t="s">
        <v>54</v>
      </c>
      <c r="C18" s="3" t="s">
        <v>57</v>
      </c>
      <c r="D18" s="3" t="s">
        <v>46</v>
      </c>
      <c r="E18" s="3" t="s">
        <v>44</v>
      </c>
      <c r="F18" s="4">
        <v>60</v>
      </c>
      <c r="G18" s="4">
        <v>2045</v>
      </c>
      <c r="H18" s="5">
        <v>45039</v>
      </c>
      <c r="I18" s="4">
        <v>122700</v>
      </c>
      <c r="M18">
        <v>1</v>
      </c>
      <c r="N18" s="6" t="s">
        <v>105</v>
      </c>
      <c r="O18" t="s">
        <v>107</v>
      </c>
    </row>
    <row r="19" spans="1:15" ht="15.75" customHeight="1" x14ac:dyDescent="0.3">
      <c r="A19" s="3" t="s">
        <v>69</v>
      </c>
      <c r="B19" s="3" t="s">
        <v>12</v>
      </c>
      <c r="C19" s="3" t="s">
        <v>60</v>
      </c>
      <c r="D19" s="3" t="s">
        <v>46</v>
      </c>
      <c r="E19" s="3" t="s">
        <v>38</v>
      </c>
      <c r="F19" s="4">
        <v>62</v>
      </c>
      <c r="G19" s="4">
        <v>3073</v>
      </c>
      <c r="H19" s="5">
        <v>45046</v>
      </c>
      <c r="I19" s="4">
        <v>190526</v>
      </c>
      <c r="N19" s="7" t="s">
        <v>14</v>
      </c>
      <c r="O19" s="8">
        <v>2289021</v>
      </c>
    </row>
    <row r="20" spans="1:15" ht="15.75" customHeight="1" x14ac:dyDescent="0.3">
      <c r="A20" s="3" t="s">
        <v>70</v>
      </c>
      <c r="B20" s="3" t="s">
        <v>40</v>
      </c>
      <c r="C20" s="3" t="s">
        <v>60</v>
      </c>
      <c r="D20" s="3" t="s">
        <v>37</v>
      </c>
      <c r="E20" s="3" t="s">
        <v>55</v>
      </c>
      <c r="F20" s="4">
        <v>57</v>
      </c>
      <c r="G20" s="4">
        <v>2641</v>
      </c>
      <c r="H20" s="5">
        <v>45053</v>
      </c>
      <c r="I20" s="4">
        <v>150537</v>
      </c>
      <c r="N20" s="7" t="s">
        <v>49</v>
      </c>
      <c r="O20" s="8">
        <v>2920379</v>
      </c>
    </row>
    <row r="21" spans="1:15" ht="15.75" customHeight="1" x14ac:dyDescent="0.3">
      <c r="A21" s="3" t="s">
        <v>71</v>
      </c>
      <c r="B21" s="3" t="s">
        <v>40</v>
      </c>
      <c r="C21" s="3" t="s">
        <v>60</v>
      </c>
      <c r="D21" s="3" t="s">
        <v>46</v>
      </c>
      <c r="E21" s="3" t="s">
        <v>38</v>
      </c>
      <c r="F21" s="4">
        <v>32</v>
      </c>
      <c r="G21" s="4">
        <v>1582</v>
      </c>
      <c r="H21" s="5">
        <v>45060</v>
      </c>
      <c r="I21" s="4">
        <v>50624</v>
      </c>
      <c r="N21" s="7" t="s">
        <v>60</v>
      </c>
      <c r="O21" s="8">
        <v>911991</v>
      </c>
    </row>
    <row r="22" spans="1:15" ht="15.75" customHeight="1" x14ac:dyDescent="0.3">
      <c r="A22" s="3" t="s">
        <v>72</v>
      </c>
      <c r="B22" s="3" t="s">
        <v>73</v>
      </c>
      <c r="C22" s="3" t="s">
        <v>14</v>
      </c>
      <c r="D22" s="3" t="s">
        <v>37</v>
      </c>
      <c r="E22" s="3" t="s">
        <v>16</v>
      </c>
      <c r="F22" s="4">
        <v>64</v>
      </c>
      <c r="G22" s="4">
        <v>3773</v>
      </c>
      <c r="H22" s="5">
        <v>45067</v>
      </c>
      <c r="I22" s="4">
        <v>241472</v>
      </c>
      <c r="N22" s="7" t="s">
        <v>57</v>
      </c>
      <c r="O22" s="8">
        <v>1394834</v>
      </c>
    </row>
    <row r="23" spans="1:15" ht="15.75" customHeight="1" x14ac:dyDescent="0.3">
      <c r="A23" s="3" t="s">
        <v>74</v>
      </c>
      <c r="B23" s="3" t="s">
        <v>63</v>
      </c>
      <c r="C23" s="3" t="s">
        <v>60</v>
      </c>
      <c r="D23" s="3" t="s">
        <v>37</v>
      </c>
      <c r="E23" s="3" t="s">
        <v>44</v>
      </c>
      <c r="F23" s="4">
        <v>25</v>
      </c>
      <c r="G23" s="4">
        <v>2213</v>
      </c>
      <c r="H23" s="5">
        <v>45074</v>
      </c>
      <c r="I23" s="4">
        <v>55325</v>
      </c>
      <c r="N23" s="7" t="s">
        <v>41</v>
      </c>
      <c r="O23" s="8">
        <v>473458</v>
      </c>
    </row>
    <row r="24" spans="1:15" ht="15.75" customHeight="1" x14ac:dyDescent="0.3">
      <c r="A24" s="3" t="s">
        <v>75</v>
      </c>
      <c r="B24" s="3" t="s">
        <v>40</v>
      </c>
      <c r="C24" s="3" t="s">
        <v>14</v>
      </c>
      <c r="D24" s="3" t="s">
        <v>15</v>
      </c>
      <c r="E24" s="3" t="s">
        <v>44</v>
      </c>
      <c r="F24" s="4">
        <v>43</v>
      </c>
      <c r="G24" s="4">
        <v>1518</v>
      </c>
      <c r="H24" s="5">
        <v>45081</v>
      </c>
      <c r="I24" s="4">
        <v>65274</v>
      </c>
      <c r="N24" s="7" t="s">
        <v>106</v>
      </c>
      <c r="O24" s="8">
        <v>7989683</v>
      </c>
    </row>
    <row r="25" spans="1:15" ht="15.75" customHeight="1" x14ac:dyDescent="0.3">
      <c r="A25" s="3" t="s">
        <v>76</v>
      </c>
      <c r="B25" s="3" t="s">
        <v>65</v>
      </c>
      <c r="C25" s="3" t="s">
        <v>60</v>
      </c>
      <c r="D25" s="3" t="s">
        <v>46</v>
      </c>
      <c r="E25" s="3" t="s">
        <v>38</v>
      </c>
      <c r="F25" s="4">
        <v>18</v>
      </c>
      <c r="G25" s="4">
        <v>1042</v>
      </c>
      <c r="H25" s="5">
        <v>45088</v>
      </c>
      <c r="I25" s="4">
        <v>18756</v>
      </c>
      <c r="M25">
        <v>2</v>
      </c>
      <c r="N25" s="6" t="s">
        <v>105</v>
      </c>
      <c r="O25" t="s">
        <v>108</v>
      </c>
    </row>
    <row r="26" spans="1:15" ht="15.75" customHeight="1" x14ac:dyDescent="0.3">
      <c r="A26" s="3" t="s">
        <v>77</v>
      </c>
      <c r="B26" s="3" t="s">
        <v>73</v>
      </c>
      <c r="C26" s="3" t="s">
        <v>41</v>
      </c>
      <c r="D26" s="3" t="s">
        <v>46</v>
      </c>
      <c r="E26" s="3" t="s">
        <v>55</v>
      </c>
      <c r="F26" s="4">
        <v>2</v>
      </c>
      <c r="G26" s="4">
        <v>2178</v>
      </c>
      <c r="H26" s="5">
        <v>45095</v>
      </c>
      <c r="I26" s="4">
        <v>4356</v>
      </c>
      <c r="N26" s="7" t="s">
        <v>55</v>
      </c>
      <c r="O26" s="8">
        <v>3397.0714285714284</v>
      </c>
    </row>
    <row r="27" spans="1:15" ht="14.4" x14ac:dyDescent="0.3">
      <c r="A27" s="3" t="s">
        <v>78</v>
      </c>
      <c r="B27" s="3" t="s">
        <v>79</v>
      </c>
      <c r="C27" s="3" t="s">
        <v>49</v>
      </c>
      <c r="D27" s="3" t="s">
        <v>15</v>
      </c>
      <c r="E27" s="3" t="s">
        <v>55</v>
      </c>
      <c r="F27" s="4">
        <v>84</v>
      </c>
      <c r="G27" s="4">
        <v>4439</v>
      </c>
      <c r="H27" s="5">
        <v>45102</v>
      </c>
      <c r="I27" s="4">
        <v>372876</v>
      </c>
      <c r="N27" s="7" t="s">
        <v>44</v>
      </c>
      <c r="O27" s="8">
        <v>2805.1333333333332</v>
      </c>
    </row>
    <row r="28" spans="1:15" ht="14.4" x14ac:dyDescent="0.3">
      <c r="A28" s="3" t="s">
        <v>80</v>
      </c>
      <c r="B28" s="3" t="s">
        <v>40</v>
      </c>
      <c r="C28" s="3" t="s">
        <v>14</v>
      </c>
      <c r="D28" s="3" t="s">
        <v>46</v>
      </c>
      <c r="E28" s="3" t="s">
        <v>44</v>
      </c>
      <c r="F28" s="4">
        <v>12</v>
      </c>
      <c r="G28" s="4">
        <v>1148</v>
      </c>
      <c r="H28" s="5">
        <v>45109</v>
      </c>
      <c r="I28" s="4">
        <v>13776</v>
      </c>
      <c r="N28" s="7" t="s">
        <v>38</v>
      </c>
      <c r="O28" s="8">
        <v>2636.1111111111113</v>
      </c>
    </row>
    <row r="29" spans="1:15" ht="14.4" x14ac:dyDescent="0.3">
      <c r="A29" s="3" t="s">
        <v>81</v>
      </c>
      <c r="B29" s="3" t="s">
        <v>73</v>
      </c>
      <c r="C29" s="3" t="s">
        <v>14</v>
      </c>
      <c r="D29" s="3" t="s">
        <v>37</v>
      </c>
      <c r="E29" s="3" t="s">
        <v>55</v>
      </c>
      <c r="F29" s="4">
        <v>65</v>
      </c>
      <c r="G29" s="4">
        <v>4067</v>
      </c>
      <c r="H29" s="5">
        <v>45116</v>
      </c>
      <c r="I29" s="4">
        <v>264355</v>
      </c>
      <c r="N29" s="7" t="s">
        <v>16</v>
      </c>
      <c r="O29" s="8">
        <v>2519.1666666666665</v>
      </c>
    </row>
    <row r="30" spans="1:15" ht="14.4" x14ac:dyDescent="0.3">
      <c r="A30" s="3" t="s">
        <v>82</v>
      </c>
      <c r="B30" s="3" t="s">
        <v>63</v>
      </c>
      <c r="C30" s="3" t="s">
        <v>49</v>
      </c>
      <c r="D30" s="3" t="s">
        <v>50</v>
      </c>
      <c r="E30" s="3" t="s">
        <v>55</v>
      </c>
      <c r="F30" s="4">
        <v>30</v>
      </c>
      <c r="G30" s="4">
        <v>3294</v>
      </c>
      <c r="H30" s="5">
        <v>45123</v>
      </c>
      <c r="I30" s="4">
        <v>98820</v>
      </c>
      <c r="N30" s="7" t="s">
        <v>106</v>
      </c>
      <c r="O30" s="8">
        <v>2871.82</v>
      </c>
    </row>
    <row r="31" spans="1:15" ht="14.4" x14ac:dyDescent="0.3">
      <c r="A31" s="3" t="s">
        <v>83</v>
      </c>
      <c r="B31" s="3" t="s">
        <v>65</v>
      </c>
      <c r="C31" s="3" t="s">
        <v>49</v>
      </c>
      <c r="D31" s="3" t="s">
        <v>50</v>
      </c>
      <c r="E31" s="3" t="s">
        <v>55</v>
      </c>
      <c r="F31" s="4">
        <v>70</v>
      </c>
      <c r="G31" s="4">
        <v>2269</v>
      </c>
      <c r="H31" s="5">
        <v>45130</v>
      </c>
      <c r="I31" s="4">
        <v>158830</v>
      </c>
    </row>
    <row r="32" spans="1:15" ht="14.4" x14ac:dyDescent="0.3">
      <c r="A32" s="3" t="s">
        <v>84</v>
      </c>
      <c r="B32" s="3" t="s">
        <v>73</v>
      </c>
      <c r="C32" s="3" t="s">
        <v>41</v>
      </c>
      <c r="D32" s="3" t="s">
        <v>37</v>
      </c>
      <c r="E32" s="3" t="s">
        <v>44</v>
      </c>
      <c r="F32" s="4">
        <v>87</v>
      </c>
      <c r="G32" s="4">
        <v>2832</v>
      </c>
      <c r="H32" s="5">
        <v>45137</v>
      </c>
      <c r="I32" s="4">
        <v>246384</v>
      </c>
      <c r="M32">
        <v>3</v>
      </c>
      <c r="N32" s="6" t="s">
        <v>105</v>
      </c>
      <c r="O32" t="s">
        <v>109</v>
      </c>
    </row>
    <row r="33" spans="1:15" ht="14.4" x14ac:dyDescent="0.3">
      <c r="A33" s="3" t="s">
        <v>85</v>
      </c>
      <c r="B33" s="3" t="s">
        <v>63</v>
      </c>
      <c r="C33" s="3" t="s">
        <v>14</v>
      </c>
      <c r="D33" s="3" t="s">
        <v>15</v>
      </c>
      <c r="E33" s="3" t="s">
        <v>38</v>
      </c>
      <c r="F33" s="4">
        <v>33</v>
      </c>
      <c r="G33" s="4">
        <v>3414</v>
      </c>
      <c r="H33" s="5">
        <v>45144</v>
      </c>
      <c r="I33" s="4">
        <v>112662</v>
      </c>
      <c r="N33" s="7" t="s">
        <v>92</v>
      </c>
      <c r="O33" s="8">
        <v>366</v>
      </c>
    </row>
    <row r="34" spans="1:15" ht="14.4" x14ac:dyDescent="0.3">
      <c r="A34" s="3" t="s">
        <v>86</v>
      </c>
      <c r="B34" s="3" t="s">
        <v>48</v>
      </c>
      <c r="C34" s="3" t="s">
        <v>41</v>
      </c>
      <c r="D34" s="3" t="s">
        <v>37</v>
      </c>
      <c r="E34" s="3" t="s">
        <v>16</v>
      </c>
      <c r="F34" s="4">
        <v>46</v>
      </c>
      <c r="G34" s="4">
        <v>1579</v>
      </c>
      <c r="H34" s="5">
        <v>45151</v>
      </c>
      <c r="I34" s="4">
        <v>72634</v>
      </c>
      <c r="N34" s="7" t="s">
        <v>50</v>
      </c>
      <c r="O34" s="8">
        <v>189</v>
      </c>
    </row>
    <row r="35" spans="1:15" ht="14.4" x14ac:dyDescent="0.3">
      <c r="A35" s="3" t="s">
        <v>87</v>
      </c>
      <c r="B35" s="3" t="s">
        <v>43</v>
      </c>
      <c r="C35" s="3" t="s">
        <v>49</v>
      </c>
      <c r="D35" s="3" t="s">
        <v>46</v>
      </c>
      <c r="E35" s="3" t="s">
        <v>16</v>
      </c>
      <c r="F35" s="4">
        <v>14</v>
      </c>
      <c r="G35" s="4">
        <v>1342</v>
      </c>
      <c r="H35" s="5">
        <v>45158</v>
      </c>
      <c r="I35" s="4">
        <v>18788</v>
      </c>
      <c r="N35" s="7" t="s">
        <v>46</v>
      </c>
      <c r="O35" s="8">
        <v>603</v>
      </c>
    </row>
    <row r="36" spans="1:15" ht="14.4" x14ac:dyDescent="0.3">
      <c r="A36" s="3" t="s">
        <v>88</v>
      </c>
      <c r="B36" s="3" t="s">
        <v>12</v>
      </c>
      <c r="C36" s="3" t="s">
        <v>60</v>
      </c>
      <c r="D36" s="3" t="s">
        <v>37</v>
      </c>
      <c r="E36" s="3" t="s">
        <v>55</v>
      </c>
      <c r="F36" s="4">
        <v>59</v>
      </c>
      <c r="G36" s="4">
        <v>1297</v>
      </c>
      <c r="H36" s="5">
        <v>45165</v>
      </c>
      <c r="I36" s="4">
        <v>76523</v>
      </c>
      <c r="N36" s="7" t="s">
        <v>15</v>
      </c>
      <c r="O36" s="8">
        <v>544</v>
      </c>
    </row>
    <row r="37" spans="1:15" ht="14.4" x14ac:dyDescent="0.3">
      <c r="A37" s="3" t="s">
        <v>89</v>
      </c>
      <c r="B37" s="3" t="s">
        <v>54</v>
      </c>
      <c r="C37" s="3" t="s">
        <v>49</v>
      </c>
      <c r="D37" s="3" t="s">
        <v>37</v>
      </c>
      <c r="E37" s="3" t="s">
        <v>55</v>
      </c>
      <c r="F37" s="4">
        <v>71</v>
      </c>
      <c r="G37" s="4">
        <v>4518</v>
      </c>
      <c r="H37" s="5">
        <v>45172</v>
      </c>
      <c r="I37" s="4">
        <v>320778</v>
      </c>
      <c r="N37" s="7" t="s">
        <v>37</v>
      </c>
      <c r="O37" s="8">
        <v>908</v>
      </c>
    </row>
    <row r="38" spans="1:15" ht="14.4" x14ac:dyDescent="0.3">
      <c r="A38" s="3" t="s">
        <v>90</v>
      </c>
      <c r="B38" s="3" t="s">
        <v>63</v>
      </c>
      <c r="C38" s="3" t="s">
        <v>57</v>
      </c>
      <c r="D38" s="3" t="s">
        <v>46</v>
      </c>
      <c r="E38" s="3" t="s">
        <v>44</v>
      </c>
      <c r="F38" s="4">
        <v>80</v>
      </c>
      <c r="G38" s="4">
        <v>2925</v>
      </c>
      <c r="H38" s="5">
        <v>45179</v>
      </c>
      <c r="I38" s="4">
        <v>234000</v>
      </c>
      <c r="N38" s="7" t="s">
        <v>106</v>
      </c>
      <c r="O38" s="8">
        <v>2610</v>
      </c>
    </row>
    <row r="39" spans="1:15" ht="14.4" x14ac:dyDescent="0.3">
      <c r="A39" s="3" t="s">
        <v>91</v>
      </c>
      <c r="B39" s="3" t="s">
        <v>40</v>
      </c>
      <c r="C39" s="3" t="s">
        <v>49</v>
      </c>
      <c r="D39" s="3" t="s">
        <v>92</v>
      </c>
      <c r="E39" s="3" t="s">
        <v>44</v>
      </c>
      <c r="F39" s="4">
        <v>57</v>
      </c>
      <c r="G39" s="4">
        <v>4951</v>
      </c>
      <c r="H39" s="5">
        <v>45186</v>
      </c>
      <c r="I39" s="4">
        <v>282207</v>
      </c>
    </row>
    <row r="40" spans="1:15" ht="14.4" x14ac:dyDescent="0.3">
      <c r="A40" s="3" t="s">
        <v>93</v>
      </c>
      <c r="B40" s="3" t="s">
        <v>43</v>
      </c>
      <c r="C40" s="3" t="s">
        <v>60</v>
      </c>
      <c r="D40" s="3" t="s">
        <v>15</v>
      </c>
      <c r="E40" s="3" t="s">
        <v>16</v>
      </c>
      <c r="F40" s="4">
        <v>37</v>
      </c>
      <c r="G40" s="4">
        <v>1757</v>
      </c>
      <c r="H40" s="5">
        <v>45193</v>
      </c>
      <c r="I40" s="4">
        <v>65009</v>
      </c>
      <c r="M40">
        <v>4</v>
      </c>
      <c r="N40" s="6" t="s">
        <v>105</v>
      </c>
      <c r="O40" t="s">
        <v>109</v>
      </c>
    </row>
    <row r="41" spans="1:15" ht="14.4" x14ac:dyDescent="0.3">
      <c r="A41" s="3" t="s">
        <v>94</v>
      </c>
      <c r="B41" s="3" t="s">
        <v>12</v>
      </c>
      <c r="C41" s="3" t="s">
        <v>49</v>
      </c>
      <c r="D41" s="3" t="s">
        <v>50</v>
      </c>
      <c r="E41" s="3" t="s">
        <v>55</v>
      </c>
      <c r="F41" s="4">
        <v>24</v>
      </c>
      <c r="G41" s="4">
        <v>4412</v>
      </c>
      <c r="H41" s="5">
        <v>45200</v>
      </c>
      <c r="I41" s="4">
        <v>105888</v>
      </c>
      <c r="N41" s="7" t="s">
        <v>55</v>
      </c>
      <c r="O41" s="8">
        <v>864</v>
      </c>
    </row>
    <row r="42" spans="1:15" ht="14.4" x14ac:dyDescent="0.3">
      <c r="A42" s="3" t="s">
        <v>95</v>
      </c>
      <c r="B42" s="3" t="s">
        <v>73</v>
      </c>
      <c r="C42" s="3" t="s">
        <v>41</v>
      </c>
      <c r="D42" s="3" t="s">
        <v>46</v>
      </c>
      <c r="E42" s="3" t="s">
        <v>16</v>
      </c>
      <c r="F42" s="4">
        <v>14</v>
      </c>
      <c r="G42" s="4">
        <v>1396</v>
      </c>
      <c r="H42" s="5">
        <v>45207</v>
      </c>
      <c r="I42" s="4">
        <v>19544</v>
      </c>
      <c r="N42" s="7" t="s">
        <v>44</v>
      </c>
      <c r="O42" s="8">
        <v>692</v>
      </c>
    </row>
    <row r="43" spans="1:15" ht="14.4" x14ac:dyDescent="0.3">
      <c r="A43" s="3" t="s">
        <v>96</v>
      </c>
      <c r="B43" s="3" t="s">
        <v>54</v>
      </c>
      <c r="C43" s="3" t="s">
        <v>57</v>
      </c>
      <c r="D43" s="3" t="s">
        <v>92</v>
      </c>
      <c r="E43" s="3" t="s">
        <v>55</v>
      </c>
      <c r="F43" s="4">
        <v>65</v>
      </c>
      <c r="G43" s="4">
        <v>4050</v>
      </c>
      <c r="H43" s="5">
        <v>45214</v>
      </c>
      <c r="I43" s="4">
        <v>263250</v>
      </c>
      <c r="N43" s="7" t="s">
        <v>38</v>
      </c>
      <c r="O43" s="8">
        <v>414</v>
      </c>
    </row>
    <row r="44" spans="1:15" ht="14.4" x14ac:dyDescent="0.3">
      <c r="A44" s="3" t="s">
        <v>97</v>
      </c>
      <c r="B44" s="3" t="s">
        <v>48</v>
      </c>
      <c r="C44" s="3" t="s">
        <v>57</v>
      </c>
      <c r="D44" s="3" t="s">
        <v>37</v>
      </c>
      <c r="E44" s="3" t="s">
        <v>55</v>
      </c>
      <c r="F44" s="4">
        <v>99</v>
      </c>
      <c r="G44" s="4">
        <v>3780</v>
      </c>
      <c r="H44" s="5">
        <v>45221</v>
      </c>
      <c r="I44" s="4">
        <v>374220</v>
      </c>
      <c r="N44" s="7" t="s">
        <v>16</v>
      </c>
      <c r="O44" s="8">
        <v>640</v>
      </c>
    </row>
    <row r="45" spans="1:15" ht="14.4" x14ac:dyDescent="0.3">
      <c r="A45" s="3" t="s">
        <v>98</v>
      </c>
      <c r="B45" s="3" t="s">
        <v>54</v>
      </c>
      <c r="C45" s="3" t="s">
        <v>14</v>
      </c>
      <c r="D45" s="3" t="s">
        <v>15</v>
      </c>
      <c r="E45" s="3" t="s">
        <v>16</v>
      </c>
      <c r="F45" s="4">
        <v>99</v>
      </c>
      <c r="G45" s="4">
        <v>1075</v>
      </c>
      <c r="H45" s="5">
        <v>45228</v>
      </c>
      <c r="I45" s="4">
        <v>106425</v>
      </c>
      <c r="N45" s="7" t="s">
        <v>106</v>
      </c>
      <c r="O45" s="8">
        <v>2610</v>
      </c>
    </row>
    <row r="46" spans="1:15" ht="14.4" x14ac:dyDescent="0.3">
      <c r="A46" s="3" t="s">
        <v>99</v>
      </c>
      <c r="B46" s="3" t="s">
        <v>43</v>
      </c>
      <c r="C46" s="3" t="s">
        <v>57</v>
      </c>
      <c r="D46" s="3" t="s">
        <v>37</v>
      </c>
      <c r="E46" s="3" t="s">
        <v>16</v>
      </c>
      <c r="F46" s="4">
        <v>82</v>
      </c>
      <c r="G46" s="4">
        <v>2152</v>
      </c>
      <c r="H46" s="5">
        <v>45235</v>
      </c>
      <c r="I46" s="4">
        <v>176464</v>
      </c>
    </row>
    <row r="47" spans="1:15" ht="14.4" x14ac:dyDescent="0.3">
      <c r="A47" s="3" t="s">
        <v>100</v>
      </c>
      <c r="B47" s="3" t="s">
        <v>40</v>
      </c>
      <c r="C47" s="3" t="s">
        <v>14</v>
      </c>
      <c r="D47" s="3" t="s">
        <v>92</v>
      </c>
      <c r="E47" s="3" t="s">
        <v>44</v>
      </c>
      <c r="F47" s="4">
        <v>97</v>
      </c>
      <c r="G47" s="4">
        <v>4983</v>
      </c>
      <c r="H47" s="5">
        <v>45242</v>
      </c>
      <c r="I47" s="4">
        <v>483351</v>
      </c>
      <c r="M47">
        <v>5</v>
      </c>
      <c r="N47" s="6" t="s">
        <v>105</v>
      </c>
      <c r="O47" t="s">
        <v>107</v>
      </c>
    </row>
    <row r="48" spans="1:15" ht="14.4" x14ac:dyDescent="0.3">
      <c r="A48" s="3" t="s">
        <v>101</v>
      </c>
      <c r="B48" s="3" t="s">
        <v>43</v>
      </c>
      <c r="C48" s="3" t="s">
        <v>49</v>
      </c>
      <c r="D48" s="3" t="s">
        <v>15</v>
      </c>
      <c r="E48" s="3" t="s">
        <v>16</v>
      </c>
      <c r="F48" s="4">
        <v>94</v>
      </c>
      <c r="G48" s="4">
        <v>4591</v>
      </c>
      <c r="H48" s="5">
        <v>45249</v>
      </c>
      <c r="I48" s="4">
        <v>431554</v>
      </c>
      <c r="N48" s="7" t="s">
        <v>48</v>
      </c>
      <c r="O48" s="8">
        <v>814834</v>
      </c>
    </row>
    <row r="49" spans="1:15" ht="14.4" x14ac:dyDescent="0.3">
      <c r="A49" s="3" t="s">
        <v>102</v>
      </c>
      <c r="B49" s="3" t="s">
        <v>48</v>
      </c>
      <c r="C49" s="3" t="s">
        <v>60</v>
      </c>
      <c r="D49" s="3" t="s">
        <v>37</v>
      </c>
      <c r="E49" s="3" t="s">
        <v>16</v>
      </c>
      <c r="F49" s="4">
        <v>63</v>
      </c>
      <c r="G49" s="4">
        <v>1793</v>
      </c>
      <c r="H49" s="5">
        <v>45256</v>
      </c>
      <c r="I49" s="4">
        <v>112959</v>
      </c>
      <c r="N49" s="7" t="s">
        <v>73</v>
      </c>
      <c r="O49" s="8">
        <v>776111</v>
      </c>
    </row>
    <row r="50" spans="1:15" ht="14.4" x14ac:dyDescent="0.3">
      <c r="A50" s="3" t="s">
        <v>103</v>
      </c>
      <c r="B50" s="3" t="s">
        <v>43</v>
      </c>
      <c r="C50" s="3" t="s">
        <v>49</v>
      </c>
      <c r="D50" s="3" t="s">
        <v>92</v>
      </c>
      <c r="E50" s="3" t="s">
        <v>38</v>
      </c>
      <c r="F50" s="4">
        <v>64</v>
      </c>
      <c r="G50" s="4">
        <v>3764</v>
      </c>
      <c r="H50" s="5">
        <v>45263</v>
      </c>
      <c r="I50" s="4">
        <v>240896</v>
      </c>
      <c r="N50" s="7" t="s">
        <v>79</v>
      </c>
      <c r="O50" s="8">
        <v>372876</v>
      </c>
    </row>
    <row r="51" spans="1:15" ht="14.4" x14ac:dyDescent="0.3">
      <c r="A51" s="3" t="s">
        <v>104</v>
      </c>
      <c r="B51" s="3" t="s">
        <v>54</v>
      </c>
      <c r="C51" s="3" t="s">
        <v>14</v>
      </c>
      <c r="D51" s="3" t="s">
        <v>92</v>
      </c>
      <c r="E51" s="3" t="s">
        <v>38</v>
      </c>
      <c r="F51" s="4">
        <v>83</v>
      </c>
      <c r="G51" s="4">
        <v>4055</v>
      </c>
      <c r="H51" s="5">
        <v>45270</v>
      </c>
      <c r="I51" s="4">
        <v>336565</v>
      </c>
      <c r="N51" s="7" t="s">
        <v>43</v>
      </c>
      <c r="O51" s="8">
        <v>1293320</v>
      </c>
    </row>
    <row r="52" spans="1:15" ht="15.75" customHeight="1" x14ac:dyDescent="0.25">
      <c r="N52" s="7" t="s">
        <v>65</v>
      </c>
      <c r="O52" s="8">
        <v>489490</v>
      </c>
    </row>
    <row r="53" spans="1:15" ht="15.75" customHeight="1" x14ac:dyDescent="0.25">
      <c r="N53" s="7" t="s">
        <v>40</v>
      </c>
      <c r="O53" s="8">
        <v>1301594</v>
      </c>
    </row>
    <row r="54" spans="1:15" ht="15.75" customHeight="1" x14ac:dyDescent="0.25">
      <c r="N54" s="7" t="s">
        <v>12</v>
      </c>
      <c r="O54" s="8">
        <v>596217</v>
      </c>
    </row>
    <row r="55" spans="1:15" ht="15.75" customHeight="1" x14ac:dyDescent="0.25">
      <c r="N55" s="7" t="s">
        <v>59</v>
      </c>
      <c r="O55" s="8">
        <v>68224</v>
      </c>
    </row>
    <row r="56" spans="1:15" ht="15.75" customHeight="1" x14ac:dyDescent="0.25">
      <c r="N56" s="7" t="s">
        <v>63</v>
      </c>
      <c r="O56" s="8">
        <v>624315</v>
      </c>
    </row>
    <row r="57" spans="1:15" ht="15.75" customHeight="1" x14ac:dyDescent="0.25">
      <c r="N57" s="7" t="s">
        <v>54</v>
      </c>
      <c r="O57" s="8">
        <v>1652702</v>
      </c>
    </row>
    <row r="58" spans="1:15" ht="15.75" customHeight="1" x14ac:dyDescent="0.25">
      <c r="N58" s="7" t="s">
        <v>106</v>
      </c>
      <c r="O58" s="8">
        <v>7989683</v>
      </c>
    </row>
    <row r="60" spans="1:15" ht="15.75" customHeight="1" x14ac:dyDescent="0.25">
      <c r="M60">
        <v>6</v>
      </c>
      <c r="N60" s="6" t="s">
        <v>105</v>
      </c>
      <c r="O60" t="s">
        <v>107</v>
      </c>
    </row>
    <row r="61" spans="1:15" ht="15.75" customHeight="1" x14ac:dyDescent="0.25">
      <c r="N61" s="7" t="s">
        <v>118</v>
      </c>
      <c r="O61" s="8">
        <v>389712</v>
      </c>
    </row>
    <row r="62" spans="1:15" ht="15.75" customHeight="1" x14ac:dyDescent="0.25">
      <c r="N62" s="7" t="s">
        <v>110</v>
      </c>
      <c r="O62" s="8">
        <v>615057</v>
      </c>
    </row>
    <row r="63" spans="1:15" ht="15.75" customHeight="1" x14ac:dyDescent="0.25">
      <c r="N63" s="7" t="s">
        <v>119</v>
      </c>
      <c r="O63" s="8">
        <v>459965</v>
      </c>
    </row>
    <row r="64" spans="1:15" ht="15.75" customHeight="1" x14ac:dyDescent="0.25">
      <c r="N64" s="7" t="s">
        <v>111</v>
      </c>
      <c r="O64" s="8">
        <v>949847</v>
      </c>
    </row>
    <row r="65" spans="13:15" ht="15.75" customHeight="1" x14ac:dyDescent="0.25">
      <c r="N65" s="7" t="s">
        <v>112</v>
      </c>
      <c r="O65" s="8">
        <v>497958</v>
      </c>
    </row>
    <row r="66" spans="13:15" ht="15.75" customHeight="1" x14ac:dyDescent="0.25">
      <c r="N66" s="7" t="s">
        <v>113</v>
      </c>
      <c r="O66" s="8">
        <v>461262</v>
      </c>
    </row>
    <row r="67" spans="13:15" ht="15.75" customHeight="1" x14ac:dyDescent="0.25">
      <c r="N67" s="7" t="s">
        <v>114</v>
      </c>
      <c r="O67" s="8">
        <v>782165</v>
      </c>
    </row>
    <row r="68" spans="13:15" ht="15.75" customHeight="1" x14ac:dyDescent="0.25">
      <c r="N68" s="7" t="s">
        <v>115</v>
      </c>
      <c r="O68" s="8">
        <v>280607</v>
      </c>
    </row>
    <row r="69" spans="13:15" ht="15.75" customHeight="1" x14ac:dyDescent="0.25">
      <c r="N69" s="7" t="s">
        <v>116</v>
      </c>
      <c r="O69" s="8">
        <v>901994</v>
      </c>
    </row>
    <row r="70" spans="13:15" ht="15.75" customHeight="1" x14ac:dyDescent="0.25">
      <c r="N70" s="7" t="s">
        <v>117</v>
      </c>
      <c r="O70" s="8">
        <v>869327</v>
      </c>
    </row>
    <row r="71" spans="13:15" ht="15.75" customHeight="1" x14ac:dyDescent="0.25">
      <c r="N71" s="7" t="s">
        <v>120</v>
      </c>
      <c r="O71" s="8">
        <v>1204328</v>
      </c>
    </row>
    <row r="72" spans="13:15" ht="15.75" customHeight="1" x14ac:dyDescent="0.25">
      <c r="N72" s="7" t="s">
        <v>121</v>
      </c>
      <c r="O72" s="8">
        <v>577461</v>
      </c>
    </row>
    <row r="73" spans="13:15" ht="15.75" customHeight="1" x14ac:dyDescent="0.25">
      <c r="N73" s="7" t="s">
        <v>106</v>
      </c>
      <c r="O73" s="8">
        <v>7989683</v>
      </c>
    </row>
    <row r="74" spans="13:15" ht="15.75" customHeight="1" x14ac:dyDescent="0.25">
      <c r="M74">
        <v>7</v>
      </c>
    </row>
    <row r="75" spans="13:15" ht="15.75" customHeight="1" x14ac:dyDescent="0.25">
      <c r="N75" s="6" t="s">
        <v>105</v>
      </c>
      <c r="O75" t="s">
        <v>107</v>
      </c>
    </row>
    <row r="76" spans="13:15" ht="15.75" customHeight="1" x14ac:dyDescent="0.25">
      <c r="N76" s="7" t="s">
        <v>14</v>
      </c>
      <c r="O76" s="8">
        <v>2289021</v>
      </c>
    </row>
    <row r="77" spans="13:15" ht="15.75" customHeight="1" x14ac:dyDescent="0.25">
      <c r="N77" s="7" t="s">
        <v>49</v>
      </c>
      <c r="O77" s="8">
        <v>2920379</v>
      </c>
    </row>
    <row r="78" spans="13:15" ht="15.75" customHeight="1" x14ac:dyDescent="0.25">
      <c r="N78" s="7" t="s">
        <v>60</v>
      </c>
      <c r="O78" s="8">
        <v>911991</v>
      </c>
    </row>
    <row r="79" spans="13:15" ht="15.75" customHeight="1" x14ac:dyDescent="0.25">
      <c r="N79" s="7" t="s">
        <v>57</v>
      </c>
      <c r="O79" s="8">
        <v>1394834</v>
      </c>
    </row>
    <row r="80" spans="13:15" ht="15.75" customHeight="1" x14ac:dyDescent="0.25">
      <c r="N80" s="7" t="s">
        <v>41</v>
      </c>
      <c r="O80" s="8">
        <v>473458</v>
      </c>
    </row>
    <row r="81" spans="14:15" ht="15.75" customHeight="1" x14ac:dyDescent="0.25">
      <c r="N81" s="7" t="s">
        <v>106</v>
      </c>
      <c r="O81" s="8">
        <v>7989683</v>
      </c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2"/>
  <sheetViews>
    <sheetView workbookViewId="0"/>
  </sheetViews>
  <sheetFormatPr defaultColWidth="12.6640625" defaultRowHeight="15.75" customHeight="1" x14ac:dyDescent="0.25"/>
  <sheetData>
    <row r="1" spans="1:1" ht="15.75" customHeight="1" x14ac:dyDescent="0.3">
      <c r="A1" s="1" t="s">
        <v>0</v>
      </c>
    </row>
    <row r="2" spans="1:1" ht="15.75" customHeight="1" x14ac:dyDescent="0.3">
      <c r="A2" s="3" t="s">
        <v>2</v>
      </c>
    </row>
    <row r="3" spans="1:1" ht="15.75" customHeight="1" x14ac:dyDescent="0.3">
      <c r="A3" s="3" t="s">
        <v>13</v>
      </c>
    </row>
    <row r="4" spans="1:1" ht="15.75" customHeight="1" x14ac:dyDescent="0.3">
      <c r="A4" s="3" t="s">
        <v>17</v>
      </c>
    </row>
    <row r="5" spans="1:1" ht="15.75" customHeight="1" x14ac:dyDescent="0.3">
      <c r="A5" s="3" t="s">
        <v>18</v>
      </c>
    </row>
    <row r="6" spans="1:1" ht="15.75" customHeight="1" x14ac:dyDescent="0.3">
      <c r="A6" s="3" t="s">
        <v>19</v>
      </c>
    </row>
    <row r="7" spans="1:1" ht="15.75" customHeight="1" x14ac:dyDescent="0.3">
      <c r="A7" s="3" t="s">
        <v>20</v>
      </c>
    </row>
    <row r="8" spans="1:1" ht="15.75" customHeight="1" x14ac:dyDescent="0.3">
      <c r="A8" s="3" t="s">
        <v>21</v>
      </c>
    </row>
    <row r="9" spans="1:1" ht="15.75" customHeight="1" x14ac:dyDescent="0.3">
      <c r="A9" s="3" t="s">
        <v>22</v>
      </c>
    </row>
    <row r="10" spans="1:1" ht="15.75" customHeight="1" x14ac:dyDescent="0.3">
      <c r="A10" s="3" t="s">
        <v>23</v>
      </c>
    </row>
    <row r="11" spans="1:1" ht="15.75" customHeight="1" x14ac:dyDescent="0.3">
      <c r="A11" s="3" t="s">
        <v>24</v>
      </c>
    </row>
    <row r="12" spans="1:1" ht="15.75" customHeight="1" x14ac:dyDescent="0.3">
      <c r="A12" s="1" t="s">
        <v>25</v>
      </c>
    </row>
    <row r="13" spans="1:1" ht="15.75" customHeight="1" x14ac:dyDescent="0.3">
      <c r="A13" s="3" t="s">
        <v>26</v>
      </c>
    </row>
    <row r="14" spans="1:1" ht="15.75" customHeight="1" x14ac:dyDescent="0.3">
      <c r="A14" s="3" t="s">
        <v>27</v>
      </c>
    </row>
    <row r="15" spans="1:1" ht="15.75" customHeight="1" x14ac:dyDescent="0.3">
      <c r="A15" s="3" t="s">
        <v>28</v>
      </c>
    </row>
    <row r="16" spans="1:1" ht="15.75" customHeight="1" x14ac:dyDescent="0.3">
      <c r="A16" s="3" t="s">
        <v>29</v>
      </c>
    </row>
    <row r="17" spans="1:1" ht="15.75" customHeight="1" x14ac:dyDescent="0.3">
      <c r="A17" s="3" t="s">
        <v>30</v>
      </c>
    </row>
    <row r="18" spans="1:1" ht="15.75" customHeight="1" x14ac:dyDescent="0.3">
      <c r="A18" s="3" t="s">
        <v>31</v>
      </c>
    </row>
    <row r="19" spans="1:1" ht="15.75" customHeight="1" x14ac:dyDescent="0.3">
      <c r="A19" s="3" t="s">
        <v>32</v>
      </c>
    </row>
    <row r="20" spans="1:1" ht="15.75" customHeight="1" x14ac:dyDescent="0.3">
      <c r="A20" s="3" t="s">
        <v>33</v>
      </c>
    </row>
    <row r="21" spans="1:1" ht="15.75" customHeight="1" x14ac:dyDescent="0.3">
      <c r="A21" s="3" t="s">
        <v>34</v>
      </c>
    </row>
    <row r="22" spans="1:1" ht="15.75" customHeight="1" x14ac:dyDescent="0.3">
      <c r="A22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nehapayyappilly09@gmail.com</cp:lastModifiedBy>
  <dcterms:modified xsi:type="dcterms:W3CDTF">2026-08-11T05:39:20Z</dcterms:modified>
</cp:coreProperties>
</file>